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Advance Excel\"/>
    </mc:Choice>
  </mc:AlternateContent>
  <xr:revisionPtr revIDLastSave="0" documentId="13_ncr:1_{F09F17DF-9D75-4902-80F5-D3F1F5F5B1BB}" xr6:coauthVersionLast="47" xr6:coauthVersionMax="47" xr10:uidLastSave="{00000000-0000-0000-0000-000000000000}"/>
  <bookViews>
    <workbookView xWindow="-110" yWindow="-110" windowWidth="19420" windowHeight="10300" activeTab="1" xr2:uid="{976D17C5-F643-4BE8-BEE1-1E0081A120AB}"/>
  </bookViews>
  <sheets>
    <sheet name="RawData" sheetId="3" r:id="rId1"/>
    <sheet name="Dashboard" sheetId="2" r:id="rId2"/>
    <sheet name="PivotData" sheetId="1" r:id="rId3"/>
  </sheets>
  <definedNames>
    <definedName name="Slicer_INVESTIGATION_TYPE">#N/A</definedName>
    <definedName name="Slicer_INVESTIGATOR">#N/A</definedName>
    <definedName name="Slicer_MONTH">#N/A</definedName>
    <definedName name="Slicer_REGION">#N/A</definedName>
  </definedNames>
  <calcPr calcId="191029"/>
  <pivotCaches>
    <pivotCache cacheId="83"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15" i="2" l="1"/>
  <c r="E15" i="2"/>
  <c r="H15" i="2"/>
  <c r="Q15" i="2"/>
  <c r="A2" i="3"/>
  <c r="A3" i="3"/>
  <c r="A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96" i="3"/>
  <c r="A197" i="3"/>
  <c r="A198" i="3"/>
  <c r="A199" i="3"/>
  <c r="A200" i="3"/>
  <c r="A201" i="3"/>
  <c r="A202" i="3"/>
  <c r="A203" i="3"/>
  <c r="A204" i="3"/>
  <c r="A205" i="3"/>
  <c r="A206" i="3"/>
  <c r="A207" i="3"/>
  <c r="A208" i="3"/>
  <c r="A209" i="3"/>
  <c r="A210" i="3"/>
  <c r="A211" i="3"/>
  <c r="A212" i="3"/>
  <c r="A213" i="3"/>
  <c r="A214" i="3"/>
  <c r="A215" i="3"/>
  <c r="A216" i="3"/>
  <c r="A217" i="3"/>
  <c r="A218" i="3"/>
  <c r="A219" i="3"/>
  <c r="A220" i="3"/>
  <c r="A221" i="3"/>
  <c r="A222" i="3"/>
  <c r="A223" i="3"/>
  <c r="A224" i="3"/>
  <c r="A225" i="3"/>
  <c r="A226" i="3"/>
  <c r="A227" i="3"/>
  <c r="A228" i="3"/>
  <c r="A229" i="3"/>
  <c r="A230" i="3"/>
  <c r="A231" i="3"/>
  <c r="A232" i="3"/>
  <c r="A233" i="3"/>
  <c r="A234" i="3"/>
  <c r="A235" i="3"/>
  <c r="A236" i="3"/>
  <c r="A237" i="3"/>
  <c r="A238" i="3"/>
  <c r="A239" i="3"/>
  <c r="A240" i="3"/>
  <c r="A241" i="3"/>
  <c r="A242" i="3"/>
  <c r="A243" i="3"/>
  <c r="A244" i="3"/>
  <c r="A245" i="3"/>
  <c r="A246" i="3"/>
  <c r="A247" i="3"/>
  <c r="A248" i="3"/>
  <c r="A249" i="3"/>
  <c r="A250" i="3"/>
  <c r="A251" i="3"/>
  <c r="A252" i="3"/>
  <c r="A253" i="3"/>
  <c r="A254" i="3"/>
  <c r="A255" i="3"/>
  <c r="A256" i="3"/>
  <c r="A257" i="3"/>
  <c r="A258" i="3"/>
  <c r="A259" i="3"/>
  <c r="A260" i="3"/>
  <c r="A261" i="3"/>
  <c r="A262" i="3"/>
  <c r="A263" i="3"/>
  <c r="A264" i="3"/>
  <c r="A265" i="3"/>
  <c r="A266" i="3"/>
  <c r="A267" i="3"/>
  <c r="A268" i="3"/>
  <c r="A269" i="3"/>
  <c r="A270" i="3"/>
  <c r="A271" i="3"/>
  <c r="A272" i="3"/>
  <c r="A273" i="3"/>
  <c r="A274" i="3"/>
  <c r="A275" i="3"/>
  <c r="A276" i="3"/>
  <c r="A277" i="3"/>
  <c r="A278" i="3"/>
  <c r="A279" i="3"/>
  <c r="A280" i="3"/>
  <c r="A281" i="3"/>
  <c r="A282" i="3"/>
  <c r="A283" i="3"/>
  <c r="A284" i="3"/>
  <c r="A285" i="3"/>
  <c r="A286" i="3"/>
  <c r="A287" i="3"/>
  <c r="A288" i="3"/>
  <c r="A289" i="3"/>
  <c r="A290" i="3"/>
  <c r="A291" i="3"/>
  <c r="A292" i="3"/>
  <c r="A293" i="3"/>
  <c r="A294" i="3"/>
  <c r="A295" i="3"/>
  <c r="A296" i="3"/>
  <c r="A297" i="3"/>
  <c r="A298" i="3"/>
  <c r="A299" i="3"/>
  <c r="A300" i="3"/>
  <c r="A301" i="3"/>
  <c r="A302" i="3"/>
  <c r="A303" i="3"/>
  <c r="A304" i="3"/>
  <c r="A305" i="3"/>
  <c r="A306" i="3"/>
  <c r="A307" i="3"/>
  <c r="A308" i="3"/>
  <c r="A309" i="3"/>
  <c r="A310" i="3"/>
  <c r="A311" i="3"/>
  <c r="A312" i="3"/>
  <c r="A313" i="3"/>
  <c r="A314" i="3"/>
  <c r="A315" i="3"/>
  <c r="A316" i="3"/>
  <c r="A317" i="3"/>
  <c r="A318" i="3"/>
  <c r="A319" i="3"/>
  <c r="A320" i="3"/>
  <c r="A321" i="3"/>
  <c r="A322" i="3"/>
  <c r="A323" i="3"/>
  <c r="A324" i="3"/>
  <c r="A325" i="3"/>
  <c r="A326" i="3"/>
  <c r="A327" i="3"/>
  <c r="A328" i="3"/>
  <c r="A329" i="3"/>
  <c r="A330" i="3"/>
  <c r="A331" i="3"/>
  <c r="A332" i="3"/>
  <c r="A333" i="3"/>
  <c r="A334" i="3"/>
  <c r="A335" i="3"/>
  <c r="A336" i="3"/>
  <c r="A337" i="3"/>
  <c r="A338" i="3"/>
  <c r="A339" i="3"/>
  <c r="A340" i="3"/>
  <c r="A341" i="3"/>
  <c r="A342" i="3"/>
  <c r="A343" i="3"/>
  <c r="A344" i="3"/>
  <c r="A345" i="3"/>
  <c r="A346" i="3"/>
  <c r="A347" i="3"/>
  <c r="A348" i="3"/>
  <c r="A349" i="3"/>
  <c r="A350" i="3"/>
  <c r="A351" i="3"/>
  <c r="A352" i="3"/>
  <c r="A353" i="3"/>
  <c r="A354" i="3"/>
  <c r="A355" i="3"/>
  <c r="A356" i="3"/>
  <c r="A357" i="3"/>
  <c r="A358" i="3"/>
  <c r="A359" i="3"/>
  <c r="A360" i="3"/>
  <c r="A361" i="3"/>
  <c r="A362" i="3"/>
  <c r="A363" i="3"/>
  <c r="A364" i="3"/>
  <c r="A365" i="3"/>
  <c r="A366" i="3"/>
  <c r="A367" i="3"/>
  <c r="A368" i="3"/>
  <c r="A369" i="3"/>
  <c r="A370" i="3"/>
  <c r="A371" i="3"/>
  <c r="A372" i="3"/>
  <c r="A373" i="3"/>
  <c r="A374" i="3"/>
  <c r="A375" i="3"/>
  <c r="A376" i="3"/>
  <c r="A377" i="3"/>
  <c r="A378" i="3"/>
  <c r="A379" i="3"/>
  <c r="A380" i="3"/>
  <c r="A381" i="3"/>
  <c r="A382" i="3"/>
  <c r="A383" i="3"/>
  <c r="A384" i="3"/>
  <c r="A385" i="3"/>
  <c r="A386" i="3"/>
  <c r="A387" i="3"/>
  <c r="A388" i="3"/>
  <c r="A389" i="3"/>
  <c r="A390" i="3"/>
  <c r="A391" i="3"/>
  <c r="A392" i="3"/>
  <c r="A393" i="3"/>
  <c r="A394" i="3"/>
  <c r="A395" i="3"/>
  <c r="A396" i="3"/>
  <c r="A397" i="3"/>
  <c r="A398" i="3"/>
  <c r="A399" i="3"/>
  <c r="A400" i="3"/>
  <c r="A401" i="3"/>
  <c r="A402" i="3"/>
  <c r="A403" i="3"/>
  <c r="A404" i="3"/>
  <c r="A405" i="3"/>
  <c r="A406" i="3"/>
  <c r="A407" i="3"/>
  <c r="A408" i="3"/>
  <c r="A409" i="3"/>
  <c r="A410" i="3"/>
  <c r="A411" i="3"/>
  <c r="A412" i="3"/>
  <c r="A413" i="3"/>
  <c r="A414" i="3"/>
  <c r="A415" i="3"/>
  <c r="A416" i="3"/>
  <c r="A417" i="3"/>
  <c r="A418" i="3"/>
  <c r="A419" i="3"/>
  <c r="A420" i="3"/>
  <c r="A421" i="3"/>
  <c r="A422" i="3"/>
  <c r="A423" i="3"/>
  <c r="A424" i="3"/>
  <c r="A425" i="3"/>
  <c r="A426" i="3"/>
  <c r="A427" i="3"/>
  <c r="A428" i="3"/>
  <c r="A429" i="3"/>
  <c r="A430" i="3"/>
  <c r="A431" i="3"/>
  <c r="A432" i="3"/>
  <c r="A433" i="3"/>
  <c r="A434" i="3"/>
  <c r="A435" i="3"/>
  <c r="A436" i="3"/>
  <c r="A437" i="3"/>
  <c r="A438" i="3"/>
  <c r="A439" i="3"/>
  <c r="A440" i="3"/>
  <c r="A441" i="3"/>
  <c r="A442" i="3"/>
  <c r="A443" i="3"/>
  <c r="A444" i="3"/>
  <c r="A445" i="3"/>
  <c r="A446" i="3"/>
  <c r="A447" i="3"/>
  <c r="A448" i="3"/>
  <c r="A449" i="3"/>
  <c r="A450" i="3"/>
  <c r="A451" i="3"/>
  <c r="A452" i="3"/>
  <c r="A453" i="3"/>
  <c r="A454" i="3"/>
  <c r="A455" i="3"/>
  <c r="A456" i="3"/>
  <c r="A457" i="3"/>
  <c r="A458" i="3"/>
  <c r="A459" i="3"/>
  <c r="A460" i="3"/>
  <c r="A461" i="3"/>
  <c r="A462" i="3"/>
  <c r="A463" i="3"/>
  <c r="A464" i="3"/>
  <c r="A465" i="3"/>
  <c r="A466" i="3"/>
  <c r="A467" i="3"/>
  <c r="A468" i="3"/>
  <c r="A469" i="3"/>
  <c r="A470" i="3"/>
  <c r="A471" i="3"/>
  <c r="A472" i="3"/>
  <c r="A473" i="3"/>
  <c r="A474" i="3"/>
  <c r="A475" i="3"/>
  <c r="A476" i="3"/>
  <c r="A477" i="3"/>
  <c r="A478" i="3"/>
  <c r="A479" i="3"/>
  <c r="A480" i="3"/>
  <c r="A481" i="3"/>
  <c r="A482" i="3"/>
  <c r="A483" i="3"/>
  <c r="A484" i="3"/>
  <c r="A485" i="3"/>
  <c r="A486" i="3"/>
  <c r="A487" i="3"/>
  <c r="A488" i="3"/>
  <c r="A489" i="3"/>
  <c r="A490" i="3"/>
  <c r="A491" i="3"/>
  <c r="A492" i="3"/>
  <c r="A493" i="3"/>
  <c r="A494" i="3"/>
  <c r="A495" i="3"/>
  <c r="A496" i="3"/>
  <c r="A497" i="3"/>
  <c r="A498" i="3"/>
  <c r="A499" i="3"/>
  <c r="A500" i="3"/>
  <c r="A501" i="3"/>
  <c r="C28" i="1"/>
  <c r="G31" i="1"/>
  <c r="K15" i="2" l="1"/>
</calcChain>
</file>

<file path=xl/sharedStrings.xml><?xml version="1.0" encoding="utf-8"?>
<sst xmlns="http://schemas.openxmlformats.org/spreadsheetml/2006/main" count="5641" uniqueCount="94">
  <si>
    <t>CASE_Id</t>
  </si>
  <si>
    <t>DATE</t>
  </si>
  <si>
    <t>INVESTIGATOR</t>
  </si>
  <si>
    <t>INVESTIGATION_TYPE</t>
  </si>
  <si>
    <t>QUEUE</t>
  </si>
  <si>
    <t>REGION</t>
  </si>
  <si>
    <t>PRIORITY</t>
  </si>
  <si>
    <t>DECISION</t>
  </si>
  <si>
    <t>SLA</t>
  </si>
  <si>
    <t>STATUS</t>
  </si>
  <si>
    <t>HANDLE_TIME</t>
  </si>
  <si>
    <t>INVESTIGATION_RESULT</t>
  </si>
  <si>
    <t>QUALITY_SCORE</t>
  </si>
  <si>
    <t>MONTH</t>
  </si>
  <si>
    <t>WEEK</t>
  </si>
  <si>
    <t>QUARTER</t>
  </si>
  <si>
    <t>CASE_HANDLED</t>
  </si>
  <si>
    <t>Riya Chakravarty</t>
  </si>
  <si>
    <t>Priya Mishra</t>
  </si>
  <si>
    <t>Akash Sandhu</t>
  </si>
  <si>
    <t>Harshad Choudhury</t>
  </si>
  <si>
    <t>Ankit Verma</t>
  </si>
  <si>
    <t>Sneha Gupta</t>
  </si>
  <si>
    <t>Rahul Sharma</t>
  </si>
  <si>
    <t>Aditi Roy</t>
  </si>
  <si>
    <t>Sourav Das</t>
  </si>
  <si>
    <t>Neha Singh</t>
  </si>
  <si>
    <t>Arjun Nair</t>
  </si>
  <si>
    <t>Karan Mehta</t>
  </si>
  <si>
    <t>Pooja Patel</t>
  </si>
  <si>
    <t>Vikram Joshi</t>
  </si>
  <si>
    <t>Ananya Sen</t>
  </si>
  <si>
    <t>Rohit Kumar</t>
  </si>
  <si>
    <t>Megha Bose</t>
  </si>
  <si>
    <t>Abhishek Roy</t>
  </si>
  <si>
    <t>Simran Kaur</t>
  </si>
  <si>
    <t>Aman Gupta</t>
  </si>
  <si>
    <t>Trademark</t>
  </si>
  <si>
    <t>Counterfeit</t>
  </si>
  <si>
    <t>Copyright</t>
  </si>
  <si>
    <t>Design</t>
  </si>
  <si>
    <t>Patent</t>
  </si>
  <si>
    <t>USA</t>
  </si>
  <si>
    <t>India</t>
  </si>
  <si>
    <t>UK</t>
  </si>
  <si>
    <t>Canada</t>
  </si>
  <si>
    <t>Germany</t>
  </si>
  <si>
    <t>Australia</t>
  </si>
  <si>
    <t>Singapore</t>
  </si>
  <si>
    <t>Japan</t>
  </si>
  <si>
    <t>High</t>
  </si>
  <si>
    <t>Medium</t>
  </si>
  <si>
    <t>Low</t>
  </si>
  <si>
    <t>Enforced</t>
  </si>
  <si>
    <t>Rejected</t>
  </si>
  <si>
    <t>Reinstated</t>
  </si>
  <si>
    <t>Met</t>
  </si>
  <si>
    <t>Breached</t>
  </si>
  <si>
    <t>Closed</t>
  </si>
  <si>
    <t>Open</t>
  </si>
  <si>
    <t>Valid</t>
  </si>
  <si>
    <t>Invalid</t>
  </si>
  <si>
    <t>NOI Reports</t>
  </si>
  <si>
    <t>NOI Appeals</t>
  </si>
  <si>
    <t>June</t>
  </si>
  <si>
    <t>March</t>
  </si>
  <si>
    <t>October</t>
  </si>
  <si>
    <t>January</t>
  </si>
  <si>
    <t>April</t>
  </si>
  <si>
    <t>May</t>
  </si>
  <si>
    <t>July</t>
  </si>
  <si>
    <t>December</t>
  </si>
  <si>
    <t>September</t>
  </si>
  <si>
    <t>November</t>
  </si>
  <si>
    <t>August</t>
  </si>
  <si>
    <t>February</t>
  </si>
  <si>
    <t>Q2</t>
  </si>
  <si>
    <t>Q1</t>
  </si>
  <si>
    <t>Q4</t>
  </si>
  <si>
    <t>Q3</t>
  </si>
  <si>
    <t>Row Labels</t>
  </si>
  <si>
    <t>Grand Total</t>
  </si>
  <si>
    <t>Sum of CASE_HANDLED</t>
  </si>
  <si>
    <t>Average of QUALITY_SCORE</t>
  </si>
  <si>
    <t>Count of INVESTIGATOR</t>
  </si>
  <si>
    <t>Average of CASE_HANDLED</t>
  </si>
  <si>
    <t>Total Cases</t>
  </si>
  <si>
    <t>Average Quality</t>
  </si>
  <si>
    <t>SLA Met %</t>
  </si>
  <si>
    <t>Investigator</t>
  </si>
  <si>
    <t>Investigation Operations Performance Dashboard</t>
  </si>
  <si>
    <t>Avg Resolution Time</t>
  </si>
  <si>
    <t>Average of HANDLE_TIME</t>
  </si>
  <si>
    <t>Created using Microsoft Excel    |    PivotTables    |    PivotCharts    |    Slicers    |    Interactive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</si>
</sst>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0%"/>
  </numFmts>
  <fonts count="7" x14ac:knownFonts="1">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b/>
      <sz val="22"/>
      <color theme="0"/>
      <name val="Calibri"/>
      <family val="2"/>
      <scheme val="minor"/>
    </font>
    <font>
      <b/>
      <sz val="14"/>
      <color theme="1"/>
      <name val="Calibri"/>
      <family val="2"/>
      <scheme val="minor"/>
    </font>
    <font>
      <b/>
      <sz val="18"/>
      <color theme="1"/>
      <name val="Calibri"/>
      <family val="2"/>
      <scheme val="minor"/>
    </font>
  </fonts>
  <fills count="6">
    <fill>
      <patternFill patternType="none"/>
    </fill>
    <fill>
      <patternFill patternType="gray125"/>
    </fill>
    <fill>
      <patternFill patternType="solid">
        <fgColor theme="9" tint="0.39997558519241921"/>
        <bgColor indexed="64"/>
      </patternFill>
    </fill>
    <fill>
      <patternFill patternType="solid">
        <fgColor theme="4" tint="-0.499984740745262"/>
        <bgColor indexed="64"/>
      </patternFill>
    </fill>
    <fill>
      <patternFill patternType="solid">
        <fgColor theme="4" tint="0.39997558519241921"/>
        <bgColor indexed="64"/>
      </patternFill>
    </fill>
    <fill>
      <patternFill patternType="solid">
        <fgColor theme="0" tint="-0.249977111117893"/>
        <bgColor indexed="64"/>
      </patternFill>
    </fill>
  </fills>
  <borders count="14">
    <border>
      <left/>
      <right/>
      <top/>
      <bottom/>
      <diagonal/>
    </border>
    <border>
      <left style="medium">
        <color indexed="64"/>
      </left>
      <right style="medium">
        <color indexed="64"/>
      </right>
      <top style="medium">
        <color indexed="64"/>
      </top>
      <bottom style="medium">
        <color indexed="64"/>
      </bottom>
      <diagonal/>
    </border>
    <border>
      <left style="thin">
        <color theme="4" tint="-0.499984740745262"/>
      </left>
      <right style="thin">
        <color theme="4" tint="-0.499984740745262"/>
      </right>
      <top style="thin">
        <color theme="4" tint="-0.499984740745262"/>
      </top>
      <bottom style="thin">
        <color theme="4" tint="-0.499984740745262"/>
      </bottom>
      <diagonal/>
    </border>
    <border>
      <left style="medium">
        <color theme="4" tint="-0.499984740745262"/>
      </left>
      <right/>
      <top style="medium">
        <color theme="4" tint="-0.499984740745262"/>
      </top>
      <bottom/>
      <diagonal/>
    </border>
    <border>
      <left/>
      <right/>
      <top style="medium">
        <color theme="4" tint="-0.499984740745262"/>
      </top>
      <bottom/>
      <diagonal/>
    </border>
    <border>
      <left/>
      <right style="medium">
        <color theme="4" tint="-0.499984740745262"/>
      </right>
      <top style="medium">
        <color theme="4" tint="-0.499984740745262"/>
      </top>
      <bottom/>
      <diagonal/>
    </border>
    <border>
      <left style="medium">
        <color theme="4" tint="-0.499984740745262"/>
      </left>
      <right/>
      <top/>
      <bottom/>
      <diagonal/>
    </border>
    <border>
      <left/>
      <right style="medium">
        <color theme="4" tint="-0.499984740745262"/>
      </right>
      <top/>
      <bottom/>
      <diagonal/>
    </border>
    <border>
      <left style="medium">
        <color theme="4" tint="-0.499984740745262"/>
      </left>
      <right/>
      <top/>
      <bottom style="medium">
        <color theme="4" tint="-0.499984740745262"/>
      </bottom>
      <diagonal/>
    </border>
    <border>
      <left/>
      <right/>
      <top/>
      <bottom style="medium">
        <color theme="4" tint="-0.499984740745262"/>
      </bottom>
      <diagonal/>
    </border>
    <border>
      <left/>
      <right style="medium">
        <color theme="4" tint="-0.499984740745262"/>
      </right>
      <top/>
      <bottom style="medium">
        <color theme="4" tint="-0.499984740745262"/>
      </bottom>
      <diagonal/>
    </border>
    <border>
      <left style="medium">
        <color theme="4" tint="-0.499984740745262"/>
      </left>
      <right style="medium">
        <color theme="4" tint="-0.499984740745262"/>
      </right>
      <top style="medium">
        <color theme="4" tint="-0.499984740745262"/>
      </top>
      <bottom/>
      <diagonal/>
    </border>
    <border>
      <left style="medium">
        <color theme="4" tint="-0.499984740745262"/>
      </left>
      <right style="medium">
        <color theme="4" tint="-0.499984740745262"/>
      </right>
      <top/>
      <bottom/>
      <diagonal/>
    </border>
    <border>
      <left style="medium">
        <color theme="4" tint="-0.499984740745262"/>
      </left>
      <right style="medium">
        <color theme="4" tint="-0.499984740745262"/>
      </right>
      <top/>
      <bottom style="medium">
        <color theme="4" tint="-0.499984740745262"/>
      </bottom>
      <diagonal/>
    </border>
  </borders>
  <cellStyleXfs count="2">
    <xf numFmtId="0" fontId="0" fillId="0" borderId="0"/>
    <xf numFmtId="9" fontId="1" fillId="0" borderId="0" applyFont="0" applyFill="0" applyBorder="0" applyAlignment="0" applyProtection="0"/>
  </cellStyleXfs>
  <cellXfs count="47">
    <xf numFmtId="0" fontId="0" fillId="0" borderId="0" xfId="0"/>
    <xf numFmtId="0" fontId="0" fillId="0" borderId="0" xfId="0" applyAlignment="1">
      <alignment horizontal="center"/>
    </xf>
    <xf numFmtId="0" fontId="2" fillId="0" borderId="0" xfId="0" applyFont="1" applyAlignment="1">
      <alignment horizontal="center"/>
    </xf>
    <xf numFmtId="0" fontId="0" fillId="0" borderId="0" xfId="0" applyBorder="1"/>
    <xf numFmtId="0" fontId="0" fillId="0" borderId="1" xfId="0" applyBorder="1"/>
    <xf numFmtId="0" fontId="3" fillId="2" borderId="1" xfId="0" applyFont="1" applyFill="1" applyBorder="1" applyAlignment="1">
      <alignment horizontal="center"/>
    </xf>
    <xf numFmtId="15" fontId="0" fillId="0" borderId="0" xfId="0" applyNumberFormat="1" applyAlignment="1">
      <alignment horizontal="center"/>
    </xf>
    <xf numFmtId="0" fontId="0" fillId="0" borderId="0" xfId="0" applyNumberFormat="1"/>
    <xf numFmtId="0" fontId="0" fillId="0" borderId="0" xfId="0" applyNumberFormat="1" applyAlignment="1">
      <alignment horizontal="center"/>
    </xf>
    <xf numFmtId="9" fontId="0" fillId="0" borderId="0" xfId="1" applyFont="1"/>
    <xf numFmtId="9" fontId="0" fillId="0" borderId="0" xfId="1" applyFont="1" applyAlignment="1">
      <alignment horizontal="center"/>
    </xf>
    <xf numFmtId="0" fontId="0" fillId="0" borderId="0" xfId="0" pivotButton="1"/>
    <xf numFmtId="0" fontId="0" fillId="0" borderId="0" xfId="0" applyAlignment="1">
      <alignment horizontal="left"/>
    </xf>
    <xf numFmtId="166" fontId="0" fillId="0" borderId="0" xfId="0" applyNumberFormat="1"/>
    <xf numFmtId="0" fontId="4" fillId="3" borderId="0"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6" xfId="0" applyFont="1" applyFill="1" applyBorder="1" applyAlignment="1">
      <alignment horizontal="center" vertical="center"/>
    </xf>
    <xf numFmtId="0" fontId="4" fillId="3" borderId="5" xfId="0" applyFont="1" applyFill="1" applyBorder="1" applyAlignment="1">
      <alignment horizontal="center" vertical="center"/>
    </xf>
    <xf numFmtId="0" fontId="4" fillId="3" borderId="7" xfId="0" applyFont="1" applyFill="1" applyBorder="1" applyAlignment="1">
      <alignment horizontal="center" vertical="center"/>
    </xf>
    <xf numFmtId="0" fontId="5" fillId="4" borderId="11" xfId="0" applyFont="1" applyFill="1" applyBorder="1" applyAlignment="1">
      <alignment horizontal="center" vertical="center" wrapText="1"/>
    </xf>
    <xf numFmtId="0" fontId="5" fillId="4" borderId="12" xfId="0" applyFont="1" applyFill="1" applyBorder="1" applyAlignment="1">
      <alignment horizontal="center" vertical="center" wrapText="1"/>
    </xf>
    <xf numFmtId="0" fontId="5" fillId="4" borderId="13" xfId="0" applyFont="1" applyFill="1" applyBorder="1" applyAlignment="1">
      <alignment horizontal="center" vertical="center" wrapText="1"/>
    </xf>
    <xf numFmtId="0" fontId="5" fillId="4" borderId="11" xfId="0" applyFont="1" applyFill="1" applyBorder="1" applyAlignment="1">
      <alignment horizontal="center" vertical="center"/>
    </xf>
    <xf numFmtId="0" fontId="5" fillId="4" borderId="12" xfId="0" applyFont="1" applyFill="1" applyBorder="1" applyAlignment="1">
      <alignment horizontal="center" vertical="center"/>
    </xf>
    <xf numFmtId="0" fontId="5" fillId="4" borderId="13" xfId="0" applyFont="1" applyFill="1" applyBorder="1" applyAlignment="1">
      <alignment horizontal="center" vertical="center"/>
    </xf>
    <xf numFmtId="0" fontId="0" fillId="5" borderId="6" xfId="0" applyFill="1" applyBorder="1" applyAlignment="1"/>
    <xf numFmtId="0" fontId="0" fillId="5" borderId="0" xfId="0" applyFill="1" applyBorder="1" applyAlignment="1"/>
    <xf numFmtId="0" fontId="0" fillId="5" borderId="7" xfId="0" applyFill="1" applyBorder="1" applyAlignment="1"/>
    <xf numFmtId="0" fontId="0" fillId="5" borderId="7" xfId="0" applyFill="1" applyBorder="1"/>
    <xf numFmtId="0" fontId="0" fillId="5" borderId="8" xfId="0" applyFill="1" applyBorder="1" applyAlignment="1"/>
    <xf numFmtId="0" fontId="0" fillId="5" borderId="9" xfId="0" applyFill="1" applyBorder="1" applyAlignment="1"/>
    <xf numFmtId="0" fontId="0" fillId="5" borderId="10" xfId="0" applyFill="1" applyBorder="1"/>
    <xf numFmtId="0" fontId="6" fillId="5" borderId="11" xfId="0" applyFont="1" applyFill="1" applyBorder="1" applyAlignment="1">
      <alignment horizontal="center" vertical="center" wrapText="1"/>
    </xf>
    <xf numFmtId="0" fontId="6" fillId="5" borderId="12" xfId="0" applyFont="1" applyFill="1" applyBorder="1" applyAlignment="1">
      <alignment horizontal="center" vertical="center" wrapText="1"/>
    </xf>
    <xf numFmtId="0" fontId="6" fillId="5" borderId="13" xfId="0" applyFont="1" applyFill="1" applyBorder="1" applyAlignment="1">
      <alignment horizontal="center" vertical="center" wrapText="1"/>
    </xf>
    <xf numFmtId="9" fontId="6" fillId="5" borderId="11" xfId="1" applyFont="1" applyFill="1" applyBorder="1" applyAlignment="1">
      <alignment horizontal="center" vertical="center"/>
    </xf>
    <xf numFmtId="9" fontId="6" fillId="5" borderId="12" xfId="1" applyFont="1" applyFill="1" applyBorder="1" applyAlignment="1">
      <alignment horizontal="center" vertical="center"/>
    </xf>
    <xf numFmtId="9" fontId="6" fillId="5" borderId="13" xfId="1" applyFont="1" applyFill="1" applyBorder="1" applyAlignment="1">
      <alignment horizontal="center" vertical="center"/>
    </xf>
    <xf numFmtId="9" fontId="6" fillId="5" borderId="11" xfId="0" applyNumberFormat="1" applyFont="1" applyFill="1" applyBorder="1" applyAlignment="1">
      <alignment horizontal="center" vertical="center"/>
    </xf>
    <xf numFmtId="9" fontId="6" fillId="5" borderId="12" xfId="0" applyNumberFormat="1" applyFont="1" applyFill="1" applyBorder="1" applyAlignment="1">
      <alignment horizontal="center" vertical="center"/>
    </xf>
    <xf numFmtId="9" fontId="6" fillId="5" borderId="13" xfId="0" applyNumberFormat="1" applyFont="1" applyFill="1" applyBorder="1" applyAlignment="1">
      <alignment horizontal="center" vertical="center"/>
    </xf>
    <xf numFmtId="0" fontId="6" fillId="5" borderId="11" xfId="0" applyFont="1" applyFill="1" applyBorder="1" applyAlignment="1">
      <alignment horizontal="center" vertical="center"/>
    </xf>
    <xf numFmtId="0" fontId="6" fillId="5" borderId="12" xfId="0" applyFont="1" applyFill="1" applyBorder="1" applyAlignment="1">
      <alignment horizontal="center" vertical="center"/>
    </xf>
    <xf numFmtId="0" fontId="6" fillId="5" borderId="13" xfId="0" applyFont="1" applyFill="1" applyBorder="1" applyAlignment="1">
      <alignment horizontal="center" vertical="center"/>
    </xf>
    <xf numFmtId="0" fontId="0" fillId="5" borderId="2" xfId="0" applyFill="1" applyBorder="1" applyAlignment="1">
      <alignment horizontal="center"/>
    </xf>
    <xf numFmtId="0" fontId="0" fillId="5" borderId="0" xfId="0" applyFont="1" applyFill="1" applyBorder="1" applyAlignment="1">
      <alignment horizontal="center"/>
    </xf>
  </cellXfs>
  <cellStyles count="2">
    <cellStyle name="Normal" xfId="0" builtinId="0"/>
    <cellStyle name="Percent" xfId="1" builtinId="5"/>
  </cellStyles>
  <dxfs count="32">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ont>
        <b/>
        <i val="0"/>
      </font>
      <fill>
        <patternFill>
          <bgColor rgb="FF92D050"/>
        </patternFill>
      </fill>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alignment horizontal="center" vertical="bottom" textRotation="0" wrapText="0" indent="0" justifyLastLine="0" shrinkToFit="0" readingOrder="0"/>
    </dxf>
    <dxf>
      <numFmt numFmtId="0" formatCode="General"/>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20" formatCode="dd/mmm/yy"/>
      <alignment horizontal="center" vertical="bottom" textRotation="0" wrapText="0" indent="0" justifyLastLine="0" shrinkToFit="0" readingOrder="0"/>
    </dxf>
    <dxf>
      <numFmt numFmtId="0" formatCode="General"/>
    </dxf>
    <dxf>
      <font>
        <strike val="0"/>
        <outline val="0"/>
        <shadow val="0"/>
        <u val="none"/>
        <vertAlign val="baseline"/>
        <sz val="12"/>
        <color theme="1"/>
        <name val="Calibri"/>
        <family val="2"/>
        <scheme val="minor"/>
      </font>
      <alignment horizontal="center" vertical="bottom" textRotation="0" wrapText="0" indent="0" justifyLastLine="0" shrinkToFit="0" readingOrder="0"/>
    </dxf>
  </dxfs>
  <tableStyles count="0" defaultTableStyle="TableStyleMedium2" defaultPivotStyle="PivotStyleLight16"/>
  <colors>
    <mruColors>
      <color rgb="FFAF01A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Investigation Operations Performance Dashboard.xlsx]PivotData!PivotTable2</c:name>
    <c:fmtId val="3"/>
  </c:pivotSource>
  <c:chart>
    <c:title>
      <c:tx>
        <c:rich>
          <a:bodyPr rot="0" spcFirstLastPara="1" vertOverflow="ellipsis" vert="horz" wrap="square" anchor="ctr" anchorCtr="1"/>
          <a:lstStyle/>
          <a:p>
            <a:pPr>
              <a:defRPr sz="1200" b="1" i="0" u="none" strike="noStrike" kern="1200" spc="0" baseline="0">
                <a:solidFill>
                  <a:schemeClr val="dk1"/>
                </a:solidFill>
                <a:latin typeface="+mn-lt"/>
                <a:ea typeface="+mn-ea"/>
                <a:cs typeface="+mn-cs"/>
              </a:defRPr>
            </a:pPr>
            <a:r>
              <a:rPr lang="en-IN" sz="1200" b="1"/>
              <a:t>Cases By Investigation Types</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PivotData!$B$1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PivotData!$A$2:$A$7</c:f>
              <c:strCache>
                <c:ptCount val="5"/>
                <c:pt idx="0">
                  <c:v>Copyright</c:v>
                </c:pt>
                <c:pt idx="1">
                  <c:v>Counterfeit</c:v>
                </c:pt>
                <c:pt idx="2">
                  <c:v>Design</c:v>
                </c:pt>
                <c:pt idx="3">
                  <c:v>Patent</c:v>
                </c:pt>
                <c:pt idx="4">
                  <c:v>Trademark</c:v>
                </c:pt>
              </c:strCache>
            </c:strRef>
          </c:cat>
          <c:val>
            <c:numRef>
              <c:f>PivotData!$B$2:$B$7</c:f>
              <c:numCache>
                <c:formatCode>General</c:formatCode>
                <c:ptCount val="5"/>
                <c:pt idx="0">
                  <c:v>96</c:v>
                </c:pt>
                <c:pt idx="1">
                  <c:v>112</c:v>
                </c:pt>
                <c:pt idx="2">
                  <c:v>102</c:v>
                </c:pt>
                <c:pt idx="3">
                  <c:v>89</c:v>
                </c:pt>
                <c:pt idx="4">
                  <c:v>101</c:v>
                </c:pt>
              </c:numCache>
            </c:numRef>
          </c:val>
          <c:extLst>
            <c:ext xmlns:c16="http://schemas.microsoft.com/office/drawing/2014/chart" uri="{C3380CC4-5D6E-409C-BE32-E72D297353CC}">
              <c16:uniqueId val="{00000000-7C30-4FB8-9536-467D9AF9ED59}"/>
            </c:ext>
          </c:extLst>
        </c:ser>
        <c:dLbls>
          <c:dLblPos val="outEnd"/>
          <c:showLegendKey val="0"/>
          <c:showVal val="1"/>
          <c:showCatName val="0"/>
          <c:showSerName val="0"/>
          <c:showPercent val="0"/>
          <c:showBubbleSize val="0"/>
        </c:dLbls>
        <c:gapWidth val="219"/>
        <c:overlap val="-27"/>
        <c:axId val="350122176"/>
        <c:axId val="350114976"/>
      </c:barChart>
      <c:catAx>
        <c:axId val="3501221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50114976"/>
        <c:crosses val="autoZero"/>
        <c:auto val="1"/>
        <c:lblAlgn val="ctr"/>
        <c:lblOffset val="100"/>
        <c:noMultiLvlLbl val="0"/>
      </c:catAx>
      <c:valAx>
        <c:axId val="35011497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50122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Investigation Operations Performance Dashboard.xlsx]PivotData!PivotTable3</c:name>
    <c:fmtId val="3"/>
  </c:pivotSource>
  <c:chart>
    <c:title>
      <c:tx>
        <c:rich>
          <a:bodyPr rot="0" spcFirstLastPara="1" vertOverflow="ellipsis" vert="horz" wrap="square" anchor="ctr" anchorCtr="1"/>
          <a:lstStyle/>
          <a:p>
            <a:pPr algn="ctr">
              <a:defRPr sz="1200" b="1" i="0" u="none" strike="noStrike" kern="1200" spc="0" baseline="0">
                <a:solidFill>
                  <a:schemeClr val="dk1"/>
                </a:solidFill>
                <a:latin typeface="+mn-lt"/>
                <a:ea typeface="+mn-ea"/>
                <a:cs typeface="+mn-cs"/>
              </a:defRPr>
            </a:pPr>
            <a:r>
              <a:rPr lang="en-US" sz="1200" b="1"/>
              <a:t>Monthly Case Volume</a:t>
            </a:r>
          </a:p>
        </c:rich>
      </c:tx>
      <c:layout>
        <c:manualLayout>
          <c:xMode val="edge"/>
          <c:yMode val="edge"/>
          <c:x val="0.30420523654993425"/>
          <c:y val="3.3441949177839853E-2"/>
        </c:manualLayout>
      </c:layout>
      <c:overlay val="0"/>
      <c:spPr>
        <a:noFill/>
        <a:ln>
          <a:noFill/>
        </a:ln>
        <a:effectLst/>
      </c:spPr>
      <c:txPr>
        <a:bodyPr rot="0" spcFirstLastPara="1" vertOverflow="ellipsis" vert="horz" wrap="square" anchor="ctr" anchorCtr="1"/>
        <a:lstStyle/>
        <a:p>
          <a:pPr algn="ctr">
            <a:defRPr sz="12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PivotData!$B$15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PivotData!$A$16:$A$28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PivotData!$B$16:$B$28</c:f>
              <c:numCache>
                <c:formatCode>General</c:formatCode>
                <c:ptCount val="12"/>
                <c:pt idx="0">
                  <c:v>40</c:v>
                </c:pt>
                <c:pt idx="1">
                  <c:v>42</c:v>
                </c:pt>
                <c:pt idx="2">
                  <c:v>29</c:v>
                </c:pt>
                <c:pt idx="3">
                  <c:v>59</c:v>
                </c:pt>
                <c:pt idx="4">
                  <c:v>45</c:v>
                </c:pt>
                <c:pt idx="5">
                  <c:v>37</c:v>
                </c:pt>
                <c:pt idx="6">
                  <c:v>42</c:v>
                </c:pt>
                <c:pt idx="7">
                  <c:v>41</c:v>
                </c:pt>
                <c:pt idx="8">
                  <c:v>51</c:v>
                </c:pt>
                <c:pt idx="9">
                  <c:v>43</c:v>
                </c:pt>
                <c:pt idx="10">
                  <c:v>37</c:v>
                </c:pt>
                <c:pt idx="11">
                  <c:v>34</c:v>
                </c:pt>
              </c:numCache>
            </c:numRef>
          </c:val>
          <c:smooth val="0"/>
          <c:extLst>
            <c:ext xmlns:c16="http://schemas.microsoft.com/office/drawing/2014/chart" uri="{C3380CC4-5D6E-409C-BE32-E72D297353CC}">
              <c16:uniqueId val="{00000000-0B96-410A-8875-1850FDE7E10B}"/>
            </c:ext>
          </c:extLst>
        </c:ser>
        <c:dLbls>
          <c:showLegendKey val="0"/>
          <c:showVal val="0"/>
          <c:showCatName val="0"/>
          <c:showSerName val="0"/>
          <c:showPercent val="0"/>
          <c:showBubbleSize val="0"/>
        </c:dLbls>
        <c:marker val="1"/>
        <c:smooth val="0"/>
        <c:axId val="1119639392"/>
        <c:axId val="1119637472"/>
      </c:lineChart>
      <c:catAx>
        <c:axId val="1119639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19637472"/>
        <c:crosses val="autoZero"/>
        <c:auto val="1"/>
        <c:lblAlgn val="ctr"/>
        <c:lblOffset val="100"/>
        <c:noMultiLvlLbl val="0"/>
      </c:catAx>
      <c:valAx>
        <c:axId val="11196374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19639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Investigation Operations Performance Dashboard.xlsx]PivotData!PivotTable4</c:name>
    <c:fmtId val="3"/>
  </c:pivotSource>
  <c:chart>
    <c:title>
      <c:tx>
        <c:rich>
          <a:bodyPr rot="0" spcFirstLastPara="1" vertOverflow="ellipsis" vert="horz" wrap="square" anchor="ctr" anchorCtr="1"/>
          <a:lstStyle/>
          <a:p>
            <a:pPr>
              <a:defRPr sz="1200" b="1" i="0" u="none" strike="noStrike" kern="1200" spc="0" baseline="0">
                <a:solidFill>
                  <a:schemeClr val="dk1"/>
                </a:solidFill>
                <a:latin typeface="+mn-lt"/>
                <a:ea typeface="+mn-ea"/>
                <a:cs typeface="+mn-cs"/>
              </a:defRPr>
            </a:pPr>
            <a:r>
              <a:rPr lang="en-US" sz="1200" b="1"/>
              <a:t>Top Investigators By Cases Handled</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PivotData!$B$35</c:f>
              <c:strCache>
                <c:ptCount val="1"/>
                <c:pt idx="0">
                  <c:v>Total</c:v>
                </c:pt>
              </c:strCache>
            </c:strRef>
          </c:tx>
          <c:spPr>
            <a:solidFill>
              <a:schemeClr val="accent1"/>
            </a:solidFill>
            <a:ln>
              <a:noFill/>
            </a:ln>
            <a:effectLst/>
          </c:spPr>
          <c:invertIfNegative val="0"/>
          <c:cat>
            <c:strRef>
              <c:f>PivotData!$A$36:$A$56</c:f>
              <c:strCache>
                <c:ptCount val="20"/>
                <c:pt idx="0">
                  <c:v>Simran Kaur</c:v>
                </c:pt>
                <c:pt idx="1">
                  <c:v>Aditi Roy</c:v>
                </c:pt>
                <c:pt idx="2">
                  <c:v>Akash Sandhu</c:v>
                </c:pt>
                <c:pt idx="3">
                  <c:v>Ananya Sen</c:v>
                </c:pt>
                <c:pt idx="4">
                  <c:v>Karan Mehta</c:v>
                </c:pt>
                <c:pt idx="5">
                  <c:v>Priya Mishra</c:v>
                </c:pt>
                <c:pt idx="6">
                  <c:v>Aman Gupta</c:v>
                </c:pt>
                <c:pt idx="7">
                  <c:v>Neha Singh</c:v>
                </c:pt>
                <c:pt idx="8">
                  <c:v>Sneha Gupta</c:v>
                </c:pt>
                <c:pt idx="9">
                  <c:v>Arjun Nair</c:v>
                </c:pt>
                <c:pt idx="10">
                  <c:v>Sourav Das</c:v>
                </c:pt>
                <c:pt idx="11">
                  <c:v>Vikram Joshi</c:v>
                </c:pt>
                <c:pt idx="12">
                  <c:v>Abhishek Roy</c:v>
                </c:pt>
                <c:pt idx="13">
                  <c:v>Megha Bose</c:v>
                </c:pt>
                <c:pt idx="14">
                  <c:v>Harshad Choudhury</c:v>
                </c:pt>
                <c:pt idx="15">
                  <c:v>Pooja Patel</c:v>
                </c:pt>
                <c:pt idx="16">
                  <c:v>Rohit Kumar</c:v>
                </c:pt>
                <c:pt idx="17">
                  <c:v>Ankit Verma</c:v>
                </c:pt>
                <c:pt idx="18">
                  <c:v>Riya Chakravarty</c:v>
                </c:pt>
                <c:pt idx="19">
                  <c:v>Rahul Sharma</c:v>
                </c:pt>
              </c:strCache>
            </c:strRef>
          </c:cat>
          <c:val>
            <c:numRef>
              <c:f>PivotData!$B$36:$B$56</c:f>
              <c:numCache>
                <c:formatCode>General</c:formatCode>
                <c:ptCount val="20"/>
                <c:pt idx="0">
                  <c:v>37</c:v>
                </c:pt>
                <c:pt idx="1">
                  <c:v>34</c:v>
                </c:pt>
                <c:pt idx="2">
                  <c:v>30</c:v>
                </c:pt>
                <c:pt idx="3">
                  <c:v>29</c:v>
                </c:pt>
                <c:pt idx="4">
                  <c:v>29</c:v>
                </c:pt>
                <c:pt idx="5">
                  <c:v>28</c:v>
                </c:pt>
                <c:pt idx="6">
                  <c:v>28</c:v>
                </c:pt>
                <c:pt idx="7">
                  <c:v>28</c:v>
                </c:pt>
                <c:pt idx="8">
                  <c:v>25</c:v>
                </c:pt>
                <c:pt idx="9">
                  <c:v>25</c:v>
                </c:pt>
                <c:pt idx="10">
                  <c:v>24</c:v>
                </c:pt>
                <c:pt idx="11">
                  <c:v>24</c:v>
                </c:pt>
                <c:pt idx="12">
                  <c:v>24</c:v>
                </c:pt>
                <c:pt idx="13">
                  <c:v>23</c:v>
                </c:pt>
                <c:pt idx="14">
                  <c:v>22</c:v>
                </c:pt>
                <c:pt idx="15">
                  <c:v>22</c:v>
                </c:pt>
                <c:pt idx="16">
                  <c:v>20</c:v>
                </c:pt>
                <c:pt idx="17">
                  <c:v>17</c:v>
                </c:pt>
                <c:pt idx="18">
                  <c:v>16</c:v>
                </c:pt>
                <c:pt idx="19">
                  <c:v>15</c:v>
                </c:pt>
              </c:numCache>
            </c:numRef>
          </c:val>
          <c:extLst>
            <c:ext xmlns:c16="http://schemas.microsoft.com/office/drawing/2014/chart" uri="{C3380CC4-5D6E-409C-BE32-E72D297353CC}">
              <c16:uniqueId val="{00000000-4D53-472E-9B6C-204867D8A10E}"/>
            </c:ext>
          </c:extLst>
        </c:ser>
        <c:dLbls>
          <c:showLegendKey val="0"/>
          <c:showVal val="0"/>
          <c:showCatName val="0"/>
          <c:showSerName val="0"/>
          <c:showPercent val="0"/>
          <c:showBubbleSize val="0"/>
        </c:dLbls>
        <c:gapWidth val="182"/>
        <c:axId val="181308400"/>
        <c:axId val="181309840"/>
      </c:barChart>
      <c:catAx>
        <c:axId val="181308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1309840"/>
        <c:crosses val="autoZero"/>
        <c:auto val="1"/>
        <c:lblAlgn val="ctr"/>
        <c:lblOffset val="100"/>
        <c:noMultiLvlLbl val="0"/>
      </c:catAx>
      <c:valAx>
        <c:axId val="181309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1308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Investigation Operations Performance Dashboard.xlsx]PivotData!PivotTable10</c:name>
    <c:fmtId val="3"/>
  </c:pivotSource>
  <c:chart>
    <c:title>
      <c:tx>
        <c:rich>
          <a:bodyPr rot="0" spcFirstLastPara="1" vertOverflow="ellipsis" vert="horz" wrap="square" anchor="ctr" anchorCtr="1"/>
          <a:lstStyle/>
          <a:p>
            <a:pPr>
              <a:defRPr sz="1200" b="1" i="0" u="none" strike="noStrike" kern="1200" spc="0" baseline="0">
                <a:solidFill>
                  <a:schemeClr val="dk1"/>
                </a:solidFill>
                <a:latin typeface="+mn-lt"/>
                <a:ea typeface="+mn-ea"/>
                <a:cs typeface="+mn-cs"/>
              </a:defRPr>
            </a:pPr>
            <a:r>
              <a:rPr lang="en-US" sz="1200" b="1"/>
              <a:t>SLA Compliance</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PivotData!$F$29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385-42D8-9D93-C2E3A60525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385-42D8-9D93-C2E3A60525D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PivotData!$E$30:$E$32</c:f>
              <c:strCache>
                <c:ptCount val="2"/>
                <c:pt idx="0">
                  <c:v>Breached</c:v>
                </c:pt>
                <c:pt idx="1">
                  <c:v>Met</c:v>
                </c:pt>
              </c:strCache>
            </c:strRef>
          </c:cat>
          <c:val>
            <c:numRef>
              <c:f>PivotData!$F$30:$F$32</c:f>
              <c:numCache>
                <c:formatCode>General</c:formatCode>
                <c:ptCount val="2"/>
                <c:pt idx="0">
                  <c:v>26</c:v>
                </c:pt>
                <c:pt idx="1">
                  <c:v>474</c:v>
                </c:pt>
              </c:numCache>
            </c:numRef>
          </c:val>
          <c:extLst>
            <c:ext xmlns:c16="http://schemas.microsoft.com/office/drawing/2014/chart" uri="{C3380CC4-5D6E-409C-BE32-E72D297353CC}">
              <c16:uniqueId val="{00000004-9385-42D8-9D93-C2E3A60525D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xdr:col>
      <xdr:colOff>36286</xdr:colOff>
      <xdr:row>3</xdr:row>
      <xdr:rowOff>9071</xdr:rowOff>
    </xdr:from>
    <xdr:to>
      <xdr:col>6</xdr:col>
      <xdr:colOff>589643</xdr:colOff>
      <xdr:row>11</xdr:row>
      <xdr:rowOff>181428</xdr:rowOff>
    </xdr:to>
    <mc:AlternateContent xmlns:mc="http://schemas.openxmlformats.org/markup-compatibility/2006">
      <mc:Choice xmlns:a14="http://schemas.microsoft.com/office/drawing/2010/main" Requires="a14">
        <xdr:graphicFrame macro="">
          <xdr:nvGraphicFramePr>
            <xdr:cNvPr id="2" name="INVESTIGATOR">
              <a:extLst>
                <a:ext uri="{FF2B5EF4-FFF2-40B4-BE49-F238E27FC236}">
                  <a16:creationId xmlns:a16="http://schemas.microsoft.com/office/drawing/2014/main" id="{3113A2C0-F757-4A0A-8740-BCE6E8457D4D}"/>
                </a:ext>
              </a:extLst>
            </xdr:cNvPr>
            <xdr:cNvGraphicFramePr/>
          </xdr:nvGraphicFramePr>
          <xdr:xfrm>
            <a:off x="0" y="0"/>
            <a:ext cx="0" cy="0"/>
          </xdr:xfrm>
          <a:graphic>
            <a:graphicData uri="http://schemas.microsoft.com/office/drawing/2010/slicer">
              <sle:slicer xmlns:sle="http://schemas.microsoft.com/office/drawing/2010/slicer" name="INVESTIGATOR"/>
            </a:graphicData>
          </a:graphic>
        </xdr:graphicFrame>
      </mc:Choice>
      <mc:Fallback>
        <xdr:sp macro="" textlink="">
          <xdr:nvSpPr>
            <xdr:cNvPr id="0" name=""/>
            <xdr:cNvSpPr>
              <a:spLocks noTextEdit="1"/>
            </xdr:cNvSpPr>
          </xdr:nvSpPr>
          <xdr:spPr>
            <a:xfrm>
              <a:off x="1242786" y="580571"/>
              <a:ext cx="2966357" cy="16963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xdr:colOff>
      <xdr:row>3</xdr:row>
      <xdr:rowOff>0</xdr:rowOff>
    </xdr:from>
    <xdr:to>
      <xdr:col>10</xdr:col>
      <xdr:colOff>126999</xdr:colOff>
      <xdr:row>11</xdr:row>
      <xdr:rowOff>173182</xdr:rowOff>
    </xdr:to>
    <mc:AlternateContent xmlns:mc="http://schemas.openxmlformats.org/markup-compatibility/2006">
      <mc:Choice xmlns:a14="http://schemas.microsoft.com/office/drawing/2010/main" Requires="a14">
        <xdr:graphicFrame macro="">
          <xdr:nvGraphicFramePr>
            <xdr:cNvPr id="3" name="INVESTIGATION_TYPE">
              <a:extLst>
                <a:ext uri="{FF2B5EF4-FFF2-40B4-BE49-F238E27FC236}">
                  <a16:creationId xmlns:a16="http://schemas.microsoft.com/office/drawing/2014/main" id="{B712D388-E0BA-4CB5-9F53-D16314734BA9}"/>
                </a:ext>
              </a:extLst>
            </xdr:cNvPr>
            <xdr:cNvGraphicFramePr/>
          </xdr:nvGraphicFramePr>
          <xdr:xfrm>
            <a:off x="0" y="0"/>
            <a:ext cx="0" cy="0"/>
          </xdr:xfrm>
          <a:graphic>
            <a:graphicData uri="http://schemas.microsoft.com/office/drawing/2010/slicer">
              <sle:slicer xmlns:sle="http://schemas.microsoft.com/office/drawing/2010/slicer" name="INVESTIGATION_TYPE"/>
            </a:graphicData>
          </a:graphic>
        </xdr:graphicFrame>
      </mc:Choice>
      <mc:Fallback>
        <xdr:sp macro="" textlink="">
          <xdr:nvSpPr>
            <xdr:cNvPr id="0" name=""/>
            <xdr:cNvSpPr>
              <a:spLocks noTextEdit="1"/>
            </xdr:cNvSpPr>
          </xdr:nvSpPr>
          <xdr:spPr>
            <a:xfrm>
              <a:off x="4222749" y="571500"/>
              <a:ext cx="1936750" cy="16971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145142</xdr:colOff>
      <xdr:row>3</xdr:row>
      <xdr:rowOff>0</xdr:rowOff>
    </xdr:from>
    <xdr:to>
      <xdr:col>13</xdr:col>
      <xdr:colOff>562428</xdr:colOff>
      <xdr:row>12</xdr:row>
      <xdr:rowOff>9071</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AECB2DBB-177A-48DF-9B78-D806D2B6B29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177642" y="571500"/>
              <a:ext cx="2227036" cy="17235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598714</xdr:colOff>
      <xdr:row>3</xdr:row>
      <xdr:rowOff>9071</xdr:rowOff>
    </xdr:from>
    <xdr:to>
      <xdr:col>17</xdr:col>
      <xdr:colOff>556171</xdr:colOff>
      <xdr:row>12</xdr:row>
      <xdr:rowOff>9071</xdr:rowOff>
    </xdr:to>
    <mc:AlternateContent xmlns:mc="http://schemas.openxmlformats.org/markup-compatibility/2006">
      <mc:Choice xmlns:a14="http://schemas.microsoft.com/office/drawing/2010/main" Requires="a14">
        <xdr:graphicFrame macro="">
          <xdr:nvGraphicFramePr>
            <xdr:cNvPr id="5" name="MONTH">
              <a:extLst>
                <a:ext uri="{FF2B5EF4-FFF2-40B4-BE49-F238E27FC236}">
                  <a16:creationId xmlns:a16="http://schemas.microsoft.com/office/drawing/2014/main" id="{8FCE834B-FE7F-4410-9EA4-A8E33E07D80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8440964" y="580571"/>
              <a:ext cx="2370457"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7471</xdr:colOff>
      <xdr:row>21</xdr:row>
      <xdr:rowOff>12903</xdr:rowOff>
    </xdr:from>
    <xdr:to>
      <xdr:col>10</xdr:col>
      <xdr:colOff>7471</xdr:colOff>
      <xdr:row>38</xdr:row>
      <xdr:rowOff>14941</xdr:rowOff>
    </xdr:to>
    <xdr:graphicFrame macro="">
      <xdr:nvGraphicFramePr>
        <xdr:cNvPr id="6" name="Chart 5">
          <a:extLst>
            <a:ext uri="{FF2B5EF4-FFF2-40B4-BE49-F238E27FC236}">
              <a16:creationId xmlns:a16="http://schemas.microsoft.com/office/drawing/2014/main" id="{F8EC9E5E-EC04-4CDF-B10C-B12A131209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14940</xdr:colOff>
      <xdr:row>21</xdr:row>
      <xdr:rowOff>7472</xdr:rowOff>
    </xdr:from>
    <xdr:to>
      <xdr:col>17</xdr:col>
      <xdr:colOff>26485</xdr:colOff>
      <xdr:row>38</xdr:row>
      <xdr:rowOff>14942</xdr:rowOff>
    </xdr:to>
    <xdr:graphicFrame macro="">
      <xdr:nvGraphicFramePr>
        <xdr:cNvPr id="7" name="Chart 6">
          <a:extLst>
            <a:ext uri="{FF2B5EF4-FFF2-40B4-BE49-F238E27FC236}">
              <a16:creationId xmlns:a16="http://schemas.microsoft.com/office/drawing/2014/main" id="{06632D25-50AB-4BAF-9A0B-B67582296E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7470</xdr:colOff>
      <xdr:row>39</xdr:row>
      <xdr:rowOff>7470</xdr:rowOff>
    </xdr:from>
    <xdr:to>
      <xdr:col>9</xdr:col>
      <xdr:colOff>609565</xdr:colOff>
      <xdr:row>56</xdr:row>
      <xdr:rowOff>7470</xdr:rowOff>
    </xdr:to>
    <xdr:graphicFrame macro="">
      <xdr:nvGraphicFramePr>
        <xdr:cNvPr id="8" name="Chart 7">
          <a:extLst>
            <a:ext uri="{FF2B5EF4-FFF2-40B4-BE49-F238E27FC236}">
              <a16:creationId xmlns:a16="http://schemas.microsoft.com/office/drawing/2014/main" id="{6A92B3B2-97F4-4EFC-82B1-78146A0DFA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10187</xdr:colOff>
      <xdr:row>39</xdr:row>
      <xdr:rowOff>7470</xdr:rowOff>
    </xdr:from>
    <xdr:to>
      <xdr:col>17</xdr:col>
      <xdr:colOff>22412</xdr:colOff>
      <xdr:row>56</xdr:row>
      <xdr:rowOff>0</xdr:rowOff>
    </xdr:to>
    <xdr:graphicFrame macro="">
      <xdr:nvGraphicFramePr>
        <xdr:cNvPr id="9" name="Chart 8">
          <a:extLst>
            <a:ext uri="{FF2B5EF4-FFF2-40B4-BE49-F238E27FC236}">
              <a16:creationId xmlns:a16="http://schemas.microsoft.com/office/drawing/2014/main" id="{17CBA2A2-013B-4198-BCF5-0428BC5FED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MITA" refreshedDate="46213.378036226852" createdVersion="8" refreshedVersion="8" minRefreshableVersion="3" recordCount="500" xr:uid="{82F6EF13-BFDC-495D-A0D2-8AA397C7A623}">
  <cacheSource type="worksheet">
    <worksheetSource name="Table3"/>
  </cacheSource>
  <cacheFields count="17">
    <cacheField name="CASE_Id" numFmtId="0">
      <sharedItems count="500">
        <s v="NOI000001"/>
        <s v="NOI000002"/>
        <s v="NOI000003"/>
        <s v="NOI000004"/>
        <s v="NOI000005"/>
        <s v="NOI000006"/>
        <s v="NOI000007"/>
        <s v="NOI000008"/>
        <s v="NOI000009"/>
        <s v="NOI000010"/>
        <s v="NOI000011"/>
        <s v="NOI000012"/>
        <s v="NOI000013"/>
        <s v="NOI000014"/>
        <s v="NOI000015"/>
        <s v="NOI000016"/>
        <s v="NOI000017"/>
        <s v="NOI000018"/>
        <s v="NOI000019"/>
        <s v="NOI000020"/>
        <s v="NOI000021"/>
        <s v="NOI000022"/>
        <s v="NOI000023"/>
        <s v="NOI000024"/>
        <s v="NOI000025"/>
        <s v="NOI000026"/>
        <s v="NOI000027"/>
        <s v="NOI000028"/>
        <s v="NOI000029"/>
        <s v="NOI000030"/>
        <s v="NOI000031"/>
        <s v="NOI000032"/>
        <s v="NOI000033"/>
        <s v="NOI000034"/>
        <s v="NOI000035"/>
        <s v="NOI000036"/>
        <s v="NOI000037"/>
        <s v="NOI000038"/>
        <s v="NOI000039"/>
        <s v="NOI000040"/>
        <s v="NOI000041"/>
        <s v="NOI000042"/>
        <s v="NOI000043"/>
        <s v="NOI000044"/>
        <s v="NOI000045"/>
        <s v="NOI000046"/>
        <s v="NOI000047"/>
        <s v="NOI000048"/>
        <s v="NOI000049"/>
        <s v="NOI000050"/>
        <s v="NOI000051"/>
        <s v="NOI000052"/>
        <s v="NOI000053"/>
        <s v="NOI000054"/>
        <s v="NOI000055"/>
        <s v="NOI000056"/>
        <s v="NOI000057"/>
        <s v="NOI000058"/>
        <s v="NOI000059"/>
        <s v="NOI000060"/>
        <s v="NOI000061"/>
        <s v="NOI000062"/>
        <s v="NOI000063"/>
        <s v="NOI000064"/>
        <s v="NOI000065"/>
        <s v="NOI000066"/>
        <s v="NOI000067"/>
        <s v="NOI000068"/>
        <s v="NOI000069"/>
        <s v="NOI000070"/>
        <s v="NOI000071"/>
        <s v="NOI000072"/>
        <s v="NOI000073"/>
        <s v="NOI000074"/>
        <s v="NOI000075"/>
        <s v="NOI000076"/>
        <s v="NOI000077"/>
        <s v="NOI000078"/>
        <s v="NOI000079"/>
        <s v="NOI000080"/>
        <s v="NOI000081"/>
        <s v="NOI000082"/>
        <s v="NOI000083"/>
        <s v="NOI000084"/>
        <s v="NOI000085"/>
        <s v="NOI000086"/>
        <s v="NOI000087"/>
        <s v="NOI000088"/>
        <s v="NOI000089"/>
        <s v="NOI000090"/>
        <s v="NOI000091"/>
        <s v="NOI000092"/>
        <s v="NOI000093"/>
        <s v="NOI000094"/>
        <s v="NOI000095"/>
        <s v="NOI000096"/>
        <s v="NOI000097"/>
        <s v="NOI000098"/>
        <s v="NOI000099"/>
        <s v="NOI000100"/>
        <s v="NOI000101"/>
        <s v="NOI000102"/>
        <s v="NOI000103"/>
        <s v="NOI000104"/>
        <s v="NOI000105"/>
        <s v="NOI000106"/>
        <s v="NOI000107"/>
        <s v="NOI000108"/>
        <s v="NOI000109"/>
        <s v="NOI000110"/>
        <s v="NOI000111"/>
        <s v="NOI000112"/>
        <s v="NOI000113"/>
        <s v="NOI000114"/>
        <s v="NOI000115"/>
        <s v="NOI000116"/>
        <s v="NOI000117"/>
        <s v="NOI000118"/>
        <s v="NOI000119"/>
        <s v="NOI000120"/>
        <s v="NOI000121"/>
        <s v="NOI000122"/>
        <s v="NOI000123"/>
        <s v="NOI000124"/>
        <s v="NOI000125"/>
        <s v="NOI000126"/>
        <s v="NOI000127"/>
        <s v="NOI000128"/>
        <s v="NOI000129"/>
        <s v="NOI000130"/>
        <s v="NOI000131"/>
        <s v="NOI000132"/>
        <s v="NOI000133"/>
        <s v="NOI000134"/>
        <s v="NOI000135"/>
        <s v="NOI000136"/>
        <s v="NOI000137"/>
        <s v="NOI000138"/>
        <s v="NOI000139"/>
        <s v="NOI000140"/>
        <s v="NOI000141"/>
        <s v="NOI000142"/>
        <s v="NOI000143"/>
        <s v="NOI000144"/>
        <s v="NOI000145"/>
        <s v="NOI000146"/>
        <s v="NOI000147"/>
        <s v="NOI000148"/>
        <s v="NOI000149"/>
        <s v="NOI000150"/>
        <s v="NOI000151"/>
        <s v="NOI000152"/>
        <s v="NOI000153"/>
        <s v="NOI000154"/>
        <s v="NOI000155"/>
        <s v="NOI000156"/>
        <s v="NOI000157"/>
        <s v="NOI000158"/>
        <s v="NOI000159"/>
        <s v="NOI000160"/>
        <s v="NOI000161"/>
        <s v="NOI000162"/>
        <s v="NOI000163"/>
        <s v="NOI000164"/>
        <s v="NOI000165"/>
        <s v="NOI000166"/>
        <s v="NOI000167"/>
        <s v="NOI000168"/>
        <s v="NOI000169"/>
        <s v="NOI000170"/>
        <s v="NOI000171"/>
        <s v="NOI000172"/>
        <s v="NOI000173"/>
        <s v="NOI000174"/>
        <s v="NOI000175"/>
        <s v="NOI000176"/>
        <s v="NOI000177"/>
        <s v="NOI000178"/>
        <s v="NOI000179"/>
        <s v="NOI000180"/>
        <s v="NOI000181"/>
        <s v="NOI000182"/>
        <s v="NOI000183"/>
        <s v="NOI000184"/>
        <s v="NOI000185"/>
        <s v="NOI000186"/>
        <s v="NOI000187"/>
        <s v="NOI000188"/>
        <s v="NOI000189"/>
        <s v="NOI000190"/>
        <s v="NOI000191"/>
        <s v="NOI000192"/>
        <s v="NOI000193"/>
        <s v="NOI000194"/>
        <s v="NOI000195"/>
        <s v="NOI000196"/>
        <s v="NOI000197"/>
        <s v="NOI000198"/>
        <s v="NOI000199"/>
        <s v="NOI000200"/>
        <s v="NOI000201"/>
        <s v="NOI000202"/>
        <s v="NOI000203"/>
        <s v="NOI000204"/>
        <s v="NOI000205"/>
        <s v="NOI000206"/>
        <s v="NOI000207"/>
        <s v="NOI000208"/>
        <s v="NOI000209"/>
        <s v="NOI000210"/>
        <s v="NOI000211"/>
        <s v="NOI000212"/>
        <s v="NOI000213"/>
        <s v="NOI000214"/>
        <s v="NOI000215"/>
        <s v="NOI000216"/>
        <s v="NOI000217"/>
        <s v="NOI000218"/>
        <s v="NOI000219"/>
        <s v="NOI000220"/>
        <s v="NOI000221"/>
        <s v="NOI000222"/>
        <s v="NOI000223"/>
        <s v="NOI000224"/>
        <s v="NOI000225"/>
        <s v="NOI000226"/>
        <s v="NOI000227"/>
        <s v="NOI000228"/>
        <s v="NOI000229"/>
        <s v="NOI000230"/>
        <s v="NOI000231"/>
        <s v="NOI000232"/>
        <s v="NOI000233"/>
        <s v="NOI000234"/>
        <s v="NOI000235"/>
        <s v="NOI000236"/>
        <s v="NOI000237"/>
        <s v="NOI000238"/>
        <s v="NOI000239"/>
        <s v="NOI000240"/>
        <s v="NOI000241"/>
        <s v="NOI000242"/>
        <s v="NOI000243"/>
        <s v="NOI000244"/>
        <s v="NOI000245"/>
        <s v="NOI000246"/>
        <s v="NOI000247"/>
        <s v="NOI000248"/>
        <s v="NOI000249"/>
        <s v="NOI000250"/>
        <s v="NOI000251"/>
        <s v="NOI000252"/>
        <s v="NOI000253"/>
        <s v="NOI000254"/>
        <s v="NOI000255"/>
        <s v="NOI000256"/>
        <s v="NOI000257"/>
        <s v="NOI000258"/>
        <s v="NOI000259"/>
        <s v="NOI000260"/>
        <s v="NOI000261"/>
        <s v="NOI000262"/>
        <s v="NOI000263"/>
        <s v="NOI000264"/>
        <s v="NOI000265"/>
        <s v="NOI000266"/>
        <s v="NOI000267"/>
        <s v="NOI000268"/>
        <s v="NOI000269"/>
        <s v="NOI000270"/>
        <s v="NOI000271"/>
        <s v="NOI000272"/>
        <s v="NOI000273"/>
        <s v="NOI000274"/>
        <s v="NOI000275"/>
        <s v="NOI000276"/>
        <s v="NOI000277"/>
        <s v="NOI000278"/>
        <s v="NOI000279"/>
        <s v="NOI000280"/>
        <s v="NOI000281"/>
        <s v="NOI000282"/>
        <s v="NOI000283"/>
        <s v="NOI000284"/>
        <s v="NOI000285"/>
        <s v="NOI000286"/>
        <s v="NOI000287"/>
        <s v="NOI000288"/>
        <s v="NOI000289"/>
        <s v="NOI000290"/>
        <s v="NOI000291"/>
        <s v="NOI000292"/>
        <s v="NOI000293"/>
        <s v="NOI000294"/>
        <s v="NOI000295"/>
        <s v="NOI000296"/>
        <s v="NOI000297"/>
        <s v="NOI000298"/>
        <s v="NOI000299"/>
        <s v="NOI000300"/>
        <s v="NOI000301"/>
        <s v="NOI000302"/>
        <s v="NOI000303"/>
        <s v="NOI000304"/>
        <s v="NOI000305"/>
        <s v="NOI000306"/>
        <s v="NOI000307"/>
        <s v="NOI000308"/>
        <s v="NOI000309"/>
        <s v="NOI000310"/>
        <s v="NOI000311"/>
        <s v="NOI000312"/>
        <s v="NOI000313"/>
        <s v="NOI000314"/>
        <s v="NOI000315"/>
        <s v="NOI000316"/>
        <s v="NOI000317"/>
        <s v="NOI000318"/>
        <s v="NOI000319"/>
        <s v="NOI000320"/>
        <s v="NOI000321"/>
        <s v="NOI000322"/>
        <s v="NOI000323"/>
        <s v="NOI000324"/>
        <s v="NOI000325"/>
        <s v="NOI000326"/>
        <s v="NOI000327"/>
        <s v="NOI000328"/>
        <s v="NOI000329"/>
        <s v="NOI000330"/>
        <s v="NOI000331"/>
        <s v="NOI000332"/>
        <s v="NOI000333"/>
        <s v="NOI000334"/>
        <s v="NOI000335"/>
        <s v="NOI000336"/>
        <s v="NOI000337"/>
        <s v="NOI000338"/>
        <s v="NOI000339"/>
        <s v="NOI000340"/>
        <s v="NOI000341"/>
        <s v="NOI000342"/>
        <s v="NOI000343"/>
        <s v="NOI000344"/>
        <s v="NOI000345"/>
        <s v="NOI000346"/>
        <s v="NOI000347"/>
        <s v="NOI000348"/>
        <s v="NOI000349"/>
        <s v="NOI000350"/>
        <s v="NOI000351"/>
        <s v="NOI000352"/>
        <s v="NOI000353"/>
        <s v="NOI000354"/>
        <s v="NOI000355"/>
        <s v="NOI000356"/>
        <s v="NOI000357"/>
        <s v="NOI000358"/>
        <s v="NOI000359"/>
        <s v="NOI000360"/>
        <s v="NOI000361"/>
        <s v="NOI000362"/>
        <s v="NOI000363"/>
        <s v="NOI000364"/>
        <s v="NOI000365"/>
        <s v="NOI000366"/>
        <s v="NOI000367"/>
        <s v="NOI000368"/>
        <s v="NOI000369"/>
        <s v="NOI000370"/>
        <s v="NOI000371"/>
        <s v="NOI000372"/>
        <s v="NOI000373"/>
        <s v="NOI000374"/>
        <s v="NOI000375"/>
        <s v="NOI000376"/>
        <s v="NOI000377"/>
        <s v="NOI000378"/>
        <s v="NOI000379"/>
        <s v="NOI000380"/>
        <s v="NOI000381"/>
        <s v="NOI000382"/>
        <s v="NOI000383"/>
        <s v="NOI000384"/>
        <s v="NOI000385"/>
        <s v="NOI000386"/>
        <s v="NOI000387"/>
        <s v="NOI000388"/>
        <s v="NOI000389"/>
        <s v="NOI000390"/>
        <s v="NOI000391"/>
        <s v="NOI000392"/>
        <s v="NOI000393"/>
        <s v="NOI000394"/>
        <s v="NOI000395"/>
        <s v="NOI000396"/>
        <s v="NOI000397"/>
        <s v="NOI000398"/>
        <s v="NOI000399"/>
        <s v="NOI000400"/>
        <s v="NOI000401"/>
        <s v="NOI000402"/>
        <s v="NOI000403"/>
        <s v="NOI000404"/>
        <s v="NOI000405"/>
        <s v="NOI000406"/>
        <s v="NOI000407"/>
        <s v="NOI000408"/>
        <s v="NOI000409"/>
        <s v="NOI000410"/>
        <s v="NOI000411"/>
        <s v="NOI000412"/>
        <s v="NOI000413"/>
        <s v="NOI000414"/>
        <s v="NOI000415"/>
        <s v="NOI000416"/>
        <s v="NOI000417"/>
        <s v="NOI000418"/>
        <s v="NOI000419"/>
        <s v="NOI000420"/>
        <s v="NOI000421"/>
        <s v="NOI000422"/>
        <s v="NOI000423"/>
        <s v="NOI000424"/>
        <s v="NOI000425"/>
        <s v="NOI000426"/>
        <s v="NOI000427"/>
        <s v="NOI000428"/>
        <s v="NOI000429"/>
        <s v="NOI000430"/>
        <s v="NOI000431"/>
        <s v="NOI000432"/>
        <s v="NOI000433"/>
        <s v="NOI000434"/>
        <s v="NOI000435"/>
        <s v="NOI000436"/>
        <s v="NOI000437"/>
        <s v="NOI000438"/>
        <s v="NOI000439"/>
        <s v="NOI000440"/>
        <s v="NOI000441"/>
        <s v="NOI000442"/>
        <s v="NOI000443"/>
        <s v="NOI000444"/>
        <s v="NOI000445"/>
        <s v="NOI000446"/>
        <s v="NOI000447"/>
        <s v="NOI000448"/>
        <s v="NOI000449"/>
        <s v="NOI000450"/>
        <s v="NOI000451"/>
        <s v="NOI000452"/>
        <s v="NOI000453"/>
        <s v="NOI000454"/>
        <s v="NOI000455"/>
        <s v="NOI000456"/>
        <s v="NOI000457"/>
        <s v="NOI000458"/>
        <s v="NOI000459"/>
        <s v="NOI000460"/>
        <s v="NOI000461"/>
        <s v="NOI000462"/>
        <s v="NOI000463"/>
        <s v="NOI000464"/>
        <s v="NOI000465"/>
        <s v="NOI000466"/>
        <s v="NOI000467"/>
        <s v="NOI000468"/>
        <s v="NOI000469"/>
        <s v="NOI000470"/>
        <s v="NOI000471"/>
        <s v="NOI000472"/>
        <s v="NOI000473"/>
        <s v="NOI000474"/>
        <s v="NOI000475"/>
        <s v="NOI000476"/>
        <s v="NOI000477"/>
        <s v="NOI000478"/>
        <s v="NOI000479"/>
        <s v="NOI000480"/>
        <s v="NOI000481"/>
        <s v="NOI000482"/>
        <s v="NOI000483"/>
        <s v="NOI000484"/>
        <s v="NOI000485"/>
        <s v="NOI000486"/>
        <s v="NOI000487"/>
        <s v="NOI000488"/>
        <s v="NOI000489"/>
        <s v="NOI000490"/>
        <s v="NOI000491"/>
        <s v="NOI000492"/>
        <s v="NOI000493"/>
        <s v="NOI000494"/>
        <s v="NOI000495"/>
        <s v="NOI000496"/>
        <s v="NOI000497"/>
        <s v="NOI000498"/>
        <s v="NOI000499"/>
        <s v="NOI000500"/>
      </sharedItems>
    </cacheField>
    <cacheField name="DATE" numFmtId="15">
      <sharedItems containsSemiMixedTypes="0" containsNonDate="0" containsDate="1" containsString="0" minDate="2025-01-02T00:00:00" maxDate="2025-12-29T00:00:00" count="274">
        <d v="2025-06-11T00:00:00"/>
        <d v="2025-03-16T00:00:00"/>
        <d v="2025-10-03T00:00:00"/>
        <d v="2025-10-24T00:00:00"/>
        <d v="2025-01-18T00:00:00"/>
        <d v="2025-04-05T00:00:00"/>
        <d v="2025-03-10T00:00:00"/>
        <d v="2025-05-28T00:00:00"/>
        <d v="2025-10-21T00:00:00"/>
        <d v="2025-07-11T00:00:00"/>
        <d v="2025-06-25T00:00:00"/>
        <d v="2025-04-17T00:00:00"/>
        <d v="2025-12-05T00:00:00"/>
        <d v="2025-03-07T00:00:00"/>
        <d v="2025-04-04T00:00:00"/>
        <d v="2025-09-24T00:00:00"/>
        <d v="2025-10-23T00:00:00"/>
        <d v="2025-01-25T00:00:00"/>
        <d v="2025-11-08T00:00:00"/>
        <d v="2025-07-06T00:00:00"/>
        <d v="2025-06-18T00:00:00"/>
        <d v="2025-03-18T00:00:00"/>
        <d v="2025-01-02T00:00:00"/>
        <d v="2025-10-07T00:00:00"/>
        <d v="2025-07-22T00:00:00"/>
        <d v="2025-03-14T00:00:00"/>
        <d v="2025-09-01T00:00:00"/>
        <d v="2025-11-09T00:00:00"/>
        <d v="2025-07-18T00:00:00"/>
        <d v="2025-01-14T00:00:00"/>
        <d v="2025-04-06T00:00:00"/>
        <d v="2025-11-10T00:00:00"/>
        <d v="2025-04-09T00:00:00"/>
        <d v="2025-04-21T00:00:00"/>
        <d v="2025-08-19T00:00:00"/>
        <d v="2025-05-18T00:00:00"/>
        <d v="2025-12-19T00:00:00"/>
        <d v="2025-08-09T00:00:00"/>
        <d v="2025-01-26T00:00:00"/>
        <d v="2025-06-07T00:00:00"/>
        <d v="2025-02-26T00:00:00"/>
        <d v="2025-11-27T00:00:00"/>
        <d v="2025-11-24T00:00:00"/>
        <d v="2025-04-07T00:00:00"/>
        <d v="2025-04-08T00:00:00"/>
        <d v="2025-01-20T00:00:00"/>
        <d v="2025-06-13T00:00:00"/>
        <d v="2025-11-07T00:00:00"/>
        <d v="2025-09-06T00:00:00"/>
        <d v="2025-11-23T00:00:00"/>
        <d v="2025-08-12T00:00:00"/>
        <d v="2025-08-26T00:00:00"/>
        <d v="2025-02-10T00:00:00"/>
        <d v="2025-03-13T00:00:00"/>
        <d v="2025-09-03T00:00:00"/>
        <d v="2025-03-25T00:00:00"/>
        <d v="2025-07-24T00:00:00"/>
        <d v="2025-03-22T00:00:00"/>
        <d v="2025-12-24T00:00:00"/>
        <d v="2025-03-11T00:00:00"/>
        <d v="2025-09-11T00:00:00"/>
        <d v="2025-02-09T00:00:00"/>
        <d v="2025-07-20T00:00:00"/>
        <d v="2025-09-16T00:00:00"/>
        <d v="2025-02-03T00:00:00"/>
        <d v="2025-04-01T00:00:00"/>
        <d v="2025-02-28T00:00:00"/>
        <d v="2025-05-10T00:00:00"/>
        <d v="2025-02-19T00:00:00"/>
        <d v="2025-12-09T00:00:00"/>
        <d v="2025-09-22T00:00:00"/>
        <d v="2025-11-03T00:00:00"/>
        <d v="2025-04-03T00:00:00"/>
        <d v="2025-09-12T00:00:00"/>
        <d v="2025-12-21T00:00:00"/>
        <d v="2025-12-18T00:00:00"/>
        <d v="2025-09-08T00:00:00"/>
        <d v="2025-04-25T00:00:00"/>
        <d v="2025-09-17T00:00:00"/>
        <d v="2025-05-08T00:00:00"/>
        <d v="2025-12-23T00:00:00"/>
        <d v="2025-10-14T00:00:00"/>
        <d v="2025-06-04T00:00:00"/>
        <d v="2025-04-20T00:00:00"/>
        <d v="2025-01-17T00:00:00"/>
        <d v="2025-10-04T00:00:00"/>
        <d v="2025-02-22T00:00:00"/>
        <d v="2025-05-04T00:00:00"/>
        <d v="2025-04-26T00:00:00"/>
        <d v="2025-12-08T00:00:00"/>
        <d v="2025-08-08T00:00:00"/>
        <d v="2025-10-25T00:00:00"/>
        <d v="2025-03-03T00:00:00"/>
        <d v="2025-01-07T00:00:00"/>
        <d v="2025-01-24T00:00:00"/>
        <d v="2025-11-11T00:00:00"/>
        <d v="2025-04-16T00:00:00"/>
        <d v="2025-08-03T00:00:00"/>
        <d v="2025-08-14T00:00:00"/>
        <d v="2025-07-10T00:00:00"/>
        <d v="2025-04-28T00:00:00"/>
        <d v="2025-09-13T00:00:00"/>
        <d v="2025-12-28T00:00:00"/>
        <d v="2025-08-17T00:00:00"/>
        <d v="2025-09-19T00:00:00"/>
        <d v="2025-10-10T00:00:00"/>
        <d v="2025-05-16T00:00:00"/>
        <d v="2025-04-18T00:00:00"/>
        <d v="2025-12-26T00:00:00"/>
        <d v="2025-05-01T00:00:00"/>
        <d v="2025-02-21T00:00:00"/>
        <d v="2025-06-17T00:00:00"/>
        <d v="2025-12-25T00:00:00"/>
        <d v="2025-09-21T00:00:00"/>
        <d v="2025-10-26T00:00:00"/>
        <d v="2025-05-21T00:00:00"/>
        <d v="2025-01-04T00:00:00"/>
        <d v="2025-02-24T00:00:00"/>
        <d v="2025-05-09T00:00:00"/>
        <d v="2025-10-27T00:00:00"/>
        <d v="2025-04-24T00:00:00"/>
        <d v="2025-10-18T00:00:00"/>
        <d v="2025-10-09T00:00:00"/>
        <d v="2025-08-10T00:00:00"/>
        <d v="2025-03-09T00:00:00"/>
        <d v="2025-02-11T00:00:00"/>
        <d v="2025-10-17T00:00:00"/>
        <d v="2025-01-11T00:00:00"/>
        <d v="2025-01-27T00:00:00"/>
        <d v="2025-12-27T00:00:00"/>
        <d v="2025-10-02T00:00:00"/>
        <d v="2025-11-21T00:00:00"/>
        <d v="2025-08-27T00:00:00"/>
        <d v="2025-07-27T00:00:00"/>
        <d v="2025-04-19T00:00:00"/>
        <d v="2025-12-01T00:00:00"/>
        <d v="2025-09-02T00:00:00"/>
        <d v="2025-01-19T00:00:00"/>
        <d v="2025-04-11T00:00:00"/>
        <d v="2025-07-01T00:00:00"/>
        <d v="2025-11-18T00:00:00"/>
        <d v="2025-12-13T00:00:00"/>
        <d v="2025-09-10T00:00:00"/>
        <d v="2025-03-19T00:00:00"/>
        <d v="2025-01-13T00:00:00"/>
        <d v="2025-06-20T00:00:00"/>
        <d v="2025-09-20T00:00:00"/>
        <d v="2025-06-15T00:00:00"/>
        <d v="2025-08-25T00:00:00"/>
        <d v="2025-04-15T00:00:00"/>
        <d v="2025-02-16T00:00:00"/>
        <d v="2025-02-08T00:00:00"/>
        <d v="2025-11-28T00:00:00"/>
        <d v="2025-04-14T00:00:00"/>
        <d v="2025-08-02T00:00:00"/>
        <d v="2025-07-14T00:00:00"/>
        <d v="2025-11-12T00:00:00"/>
        <d v="2025-10-28T00:00:00"/>
        <d v="2025-08-28T00:00:00"/>
        <d v="2025-05-23T00:00:00"/>
        <d v="2025-03-05T00:00:00"/>
        <d v="2025-06-08T00:00:00"/>
        <d v="2025-05-02T00:00:00"/>
        <d v="2025-02-15T00:00:00"/>
        <d v="2025-05-27T00:00:00"/>
        <d v="2025-12-10T00:00:00"/>
        <d v="2025-02-18T00:00:00"/>
        <d v="2025-06-19T00:00:00"/>
        <d v="2025-05-13T00:00:00"/>
        <d v="2025-05-03T00:00:00"/>
        <d v="2025-01-06T00:00:00"/>
        <d v="2025-01-15T00:00:00"/>
        <d v="2025-08-18T00:00:00"/>
        <d v="2025-06-27T00:00:00"/>
        <d v="2025-11-02T00:00:00"/>
        <d v="2025-07-15T00:00:00"/>
        <d v="2025-06-01T00:00:00"/>
        <d v="2025-06-21T00:00:00"/>
        <d v="2025-05-07T00:00:00"/>
        <d v="2025-12-06T00:00:00"/>
        <d v="2025-07-26T00:00:00"/>
        <d v="2025-07-17T00:00:00"/>
        <d v="2025-02-13T00:00:00"/>
        <d v="2025-01-08T00:00:00"/>
        <d v="2025-06-02T00:00:00"/>
        <d v="2025-03-21T00:00:00"/>
        <d v="2025-05-24T00:00:00"/>
        <d v="2025-08-16T00:00:00"/>
        <d v="2025-07-25T00:00:00"/>
        <d v="2025-03-12T00:00:00"/>
        <d v="2025-03-23T00:00:00"/>
        <d v="2025-08-01T00:00:00"/>
        <d v="2025-01-10T00:00:00"/>
        <d v="2025-10-15T00:00:00"/>
        <d v="2025-09-07T00:00:00"/>
        <d v="2025-03-01T00:00:00"/>
        <d v="2025-08-13T00:00:00"/>
        <d v="2025-11-20T00:00:00"/>
        <d v="2025-11-22T00:00:00"/>
        <d v="2025-02-02T00:00:00"/>
        <d v="2025-04-10T00:00:00"/>
        <d v="2025-05-12T00:00:00"/>
        <d v="2025-01-12T00:00:00"/>
        <d v="2025-08-24T00:00:00"/>
        <d v="2025-09-09T00:00:00"/>
        <d v="2025-06-23T00:00:00"/>
        <d v="2025-01-23T00:00:00"/>
        <d v="2025-04-13T00:00:00"/>
        <d v="2025-11-01T00:00:00"/>
        <d v="2025-10-19T00:00:00"/>
        <d v="2025-04-02T00:00:00"/>
        <d v="2025-05-06T00:00:00"/>
        <d v="2025-05-14T00:00:00"/>
        <d v="2025-08-05T00:00:00"/>
        <d v="2025-09-27T00:00:00"/>
        <d v="2025-12-17T00:00:00"/>
        <d v="2025-12-22T00:00:00"/>
        <d v="2025-10-08T00:00:00"/>
        <d v="2025-03-27T00:00:00"/>
        <d v="2025-12-02T00:00:00"/>
        <d v="2025-05-19T00:00:00"/>
        <d v="2025-12-16T00:00:00"/>
        <d v="2025-05-17T00:00:00"/>
        <d v="2025-05-20T00:00:00"/>
        <d v="2025-05-15T00:00:00"/>
        <d v="2025-06-14T00:00:00"/>
        <d v="2025-07-13T00:00:00"/>
        <d v="2025-07-08T00:00:00"/>
        <d v="2025-07-28T00:00:00"/>
        <d v="2025-11-16T00:00:00"/>
        <d v="2025-08-06T00:00:00"/>
        <d v="2025-04-12T00:00:00"/>
        <d v="2025-05-05T00:00:00"/>
        <d v="2025-07-09T00:00:00"/>
        <d v="2025-03-28T00:00:00"/>
        <d v="2025-09-26T00:00:00"/>
        <d v="2025-05-26T00:00:00"/>
        <d v="2025-02-17T00:00:00"/>
        <d v="2025-11-06T00:00:00"/>
        <d v="2025-05-25T00:00:00"/>
        <d v="2025-07-04T00:00:00"/>
        <d v="2025-07-02T00:00:00"/>
        <d v="2025-02-27T00:00:00"/>
        <d v="2025-10-20T00:00:00"/>
        <d v="2025-02-04T00:00:00"/>
        <d v="2025-04-22T00:00:00"/>
        <d v="2025-08-07T00:00:00"/>
        <d v="2025-09-25T00:00:00"/>
        <d v="2025-06-26T00:00:00"/>
        <d v="2025-06-28T00:00:00"/>
        <d v="2025-08-22T00:00:00"/>
        <d v="2025-09-05T00:00:00"/>
        <d v="2025-05-11T00:00:00"/>
        <d v="2025-09-18T00:00:00"/>
        <d v="2025-11-05T00:00:00"/>
        <d v="2025-07-16T00:00:00"/>
        <d v="2025-06-12T00:00:00"/>
        <d v="2025-12-15T00:00:00"/>
        <d v="2025-10-12T00:00:00"/>
        <d v="2025-06-24T00:00:00"/>
        <d v="2025-02-12T00:00:00"/>
        <d v="2025-11-14T00:00:00"/>
        <d v="2025-01-22T00:00:00"/>
        <d v="2025-08-21T00:00:00"/>
        <d v="2025-08-04T00:00:00"/>
        <d v="2025-07-19T00:00:00"/>
        <d v="2025-01-09T00:00:00"/>
        <d v="2025-11-04T00:00:00"/>
        <d v="2025-11-19T00:00:00"/>
        <d v="2025-02-14T00:00:00"/>
        <d v="2025-04-27T00:00:00"/>
        <d v="2025-11-13T00:00:00"/>
        <d v="2025-01-21T00:00:00"/>
        <d v="2025-10-05T00:00:00"/>
      </sharedItems>
    </cacheField>
    <cacheField name="MONTH" numFmtId="0">
      <sharedItems count="12">
        <s v="June"/>
        <s v="March"/>
        <s v="October"/>
        <s v="January"/>
        <s v="April"/>
        <s v="May"/>
        <s v="July"/>
        <s v="December"/>
        <s v="September"/>
        <s v="November"/>
        <s v="August"/>
        <s v="February"/>
      </sharedItems>
    </cacheField>
    <cacheField name="WEEK" numFmtId="0">
      <sharedItems containsSemiMixedTypes="0" containsString="0" containsNumber="1" containsInteger="1" minValue="1" maxValue="53" count="53">
        <n v="24"/>
        <n v="12"/>
        <n v="40"/>
        <n v="43"/>
        <n v="3"/>
        <n v="14"/>
        <n v="11"/>
        <n v="22"/>
        <n v="28"/>
        <n v="26"/>
        <n v="16"/>
        <n v="49"/>
        <n v="10"/>
        <n v="39"/>
        <n v="4"/>
        <n v="45"/>
        <n v="25"/>
        <n v="1"/>
        <n v="41"/>
        <n v="30"/>
        <n v="36"/>
        <n v="46"/>
        <n v="29"/>
        <n v="15"/>
        <n v="17"/>
        <n v="34"/>
        <n v="21"/>
        <n v="51"/>
        <n v="32"/>
        <n v="5"/>
        <n v="23"/>
        <n v="9"/>
        <n v="48"/>
        <n v="33"/>
        <n v="35"/>
        <n v="7"/>
        <n v="13"/>
        <n v="52"/>
        <n v="37"/>
        <n v="38"/>
        <n v="6"/>
        <n v="19"/>
        <n v="8"/>
        <n v="50"/>
        <n v="42"/>
        <n v="2"/>
        <n v="18"/>
        <n v="53"/>
        <n v="20"/>
        <n v="44"/>
        <n v="47"/>
        <n v="31"/>
        <n v="27"/>
      </sharedItems>
    </cacheField>
    <cacheField name="QUARTER" numFmtId="0">
      <sharedItems count="4">
        <s v="Q2"/>
        <s v="Q1"/>
        <s v="Q4"/>
        <s v="Q3"/>
      </sharedItems>
    </cacheField>
    <cacheField name="INVESTIGATOR" numFmtId="0">
      <sharedItems count="20">
        <s v="Pooja Patel"/>
        <s v="Neha Singh"/>
        <s v="Megha Bose"/>
        <s v="Rahul Sharma"/>
        <s v="Sneha Gupta"/>
        <s v="Ankit Verma"/>
        <s v="Aditi Roy"/>
        <s v="Abhishek Roy"/>
        <s v="Priya Mishra"/>
        <s v="Sourav Das"/>
        <s v="Harshad Choudhury"/>
        <s v="Vikram Joshi"/>
        <s v="Karan Mehta"/>
        <s v="Rohit Kumar"/>
        <s v="Riya Chakravarty"/>
        <s v="Akash Sandhu"/>
        <s v="Simran Kaur"/>
        <s v="Ananya Sen"/>
        <s v="Arjun Nair"/>
        <s v="Aman Gupta"/>
      </sharedItems>
    </cacheField>
    <cacheField name="INVESTIGATION_TYPE" numFmtId="0">
      <sharedItems count="5">
        <s v="Copyright"/>
        <s v="Patent"/>
        <s v="Counterfeit"/>
        <s v="Design"/>
        <s v="Trademark"/>
      </sharedItems>
    </cacheField>
    <cacheField name="QUEUE" numFmtId="0">
      <sharedItems count="2">
        <s v="NOI Reports"/>
        <s v="NOI Appeals"/>
      </sharedItems>
    </cacheField>
    <cacheField name="REGION" numFmtId="0">
      <sharedItems count="8">
        <s v="Japan"/>
        <s v="Canada"/>
        <s v="UK"/>
        <s v="Singapore"/>
        <s v="Germany"/>
        <s v="USA"/>
        <s v="India"/>
        <s v="Australia"/>
      </sharedItems>
    </cacheField>
    <cacheField name="PRIORITY" numFmtId="0">
      <sharedItems count="2">
        <s v="Medium"/>
        <s v="High"/>
      </sharedItems>
    </cacheField>
    <cacheField name="CASE_HANDLED" numFmtId="0">
      <sharedItems containsSemiMixedTypes="0" containsString="0" containsNumber="1" containsInteger="1" minValue="1" maxValue="1" count="1">
        <n v="1"/>
      </sharedItems>
    </cacheField>
    <cacheField name="DECISION" numFmtId="0">
      <sharedItems count="2">
        <s v="Enforced"/>
        <s v="Rejected"/>
      </sharedItems>
    </cacheField>
    <cacheField name="SLA" numFmtId="0">
      <sharedItems count="2">
        <s v="Met"/>
        <s v="Breached"/>
      </sharedItems>
    </cacheField>
    <cacheField name="STATUS" numFmtId="0">
      <sharedItems count="2">
        <s v="Closed"/>
        <s v="Open"/>
      </sharedItems>
    </cacheField>
    <cacheField name="HANDLE_TIME" numFmtId="0">
      <sharedItems containsSemiMixedTypes="0" containsString="0" containsNumber="1" containsInteger="1" minValue="6" maxValue="10" count="5">
        <n v="7"/>
        <n v="9"/>
        <n v="8"/>
        <n v="10"/>
        <n v="6"/>
      </sharedItems>
    </cacheField>
    <cacheField name="INVESTIGATION_RESULT" numFmtId="0">
      <sharedItems count="2">
        <s v="Valid"/>
        <s v="Invalid"/>
      </sharedItems>
    </cacheField>
    <cacheField name="QUALITY_SCORE" numFmtId="9">
      <sharedItems containsSemiMixedTypes="0" containsString="0" containsNumber="1" minValue="0.94" maxValue="0.99" count="6">
        <n v="0.95"/>
        <n v="0.99"/>
        <n v="0.97"/>
        <n v="0.96"/>
        <n v="0.94"/>
        <n v="0.98"/>
      </sharedItems>
    </cacheField>
  </cacheFields>
  <extLst>
    <ext xmlns:x14="http://schemas.microsoft.com/office/spreadsheetml/2009/9/main" uri="{725AE2AE-9491-48be-B2B4-4EB974FC3084}">
      <x14:pivotCacheDefinition pivotCacheId="4168522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x v="0"/>
    <x v="0"/>
    <x v="0"/>
    <x v="0"/>
    <x v="0"/>
    <x v="0"/>
    <x v="0"/>
    <x v="0"/>
    <x v="0"/>
    <x v="0"/>
    <x v="0"/>
    <x v="0"/>
    <x v="0"/>
    <x v="0"/>
  </r>
  <r>
    <x v="1"/>
    <x v="1"/>
    <x v="1"/>
    <x v="1"/>
    <x v="1"/>
    <x v="1"/>
    <x v="1"/>
    <x v="0"/>
    <x v="1"/>
    <x v="1"/>
    <x v="0"/>
    <x v="1"/>
    <x v="0"/>
    <x v="0"/>
    <x v="1"/>
    <x v="0"/>
    <x v="1"/>
  </r>
  <r>
    <x v="2"/>
    <x v="2"/>
    <x v="2"/>
    <x v="2"/>
    <x v="2"/>
    <x v="2"/>
    <x v="2"/>
    <x v="0"/>
    <x v="2"/>
    <x v="1"/>
    <x v="0"/>
    <x v="0"/>
    <x v="0"/>
    <x v="0"/>
    <x v="1"/>
    <x v="0"/>
    <x v="2"/>
  </r>
  <r>
    <x v="3"/>
    <x v="3"/>
    <x v="2"/>
    <x v="3"/>
    <x v="2"/>
    <x v="3"/>
    <x v="3"/>
    <x v="0"/>
    <x v="3"/>
    <x v="0"/>
    <x v="0"/>
    <x v="0"/>
    <x v="0"/>
    <x v="0"/>
    <x v="2"/>
    <x v="0"/>
    <x v="1"/>
  </r>
  <r>
    <x v="4"/>
    <x v="4"/>
    <x v="3"/>
    <x v="4"/>
    <x v="1"/>
    <x v="4"/>
    <x v="2"/>
    <x v="1"/>
    <x v="1"/>
    <x v="0"/>
    <x v="0"/>
    <x v="0"/>
    <x v="0"/>
    <x v="0"/>
    <x v="1"/>
    <x v="0"/>
    <x v="1"/>
  </r>
  <r>
    <x v="5"/>
    <x v="5"/>
    <x v="4"/>
    <x v="5"/>
    <x v="0"/>
    <x v="2"/>
    <x v="1"/>
    <x v="0"/>
    <x v="4"/>
    <x v="0"/>
    <x v="0"/>
    <x v="0"/>
    <x v="0"/>
    <x v="0"/>
    <x v="3"/>
    <x v="0"/>
    <x v="3"/>
  </r>
  <r>
    <x v="6"/>
    <x v="6"/>
    <x v="1"/>
    <x v="6"/>
    <x v="1"/>
    <x v="5"/>
    <x v="3"/>
    <x v="1"/>
    <x v="5"/>
    <x v="0"/>
    <x v="0"/>
    <x v="1"/>
    <x v="0"/>
    <x v="0"/>
    <x v="3"/>
    <x v="0"/>
    <x v="1"/>
  </r>
  <r>
    <x v="7"/>
    <x v="7"/>
    <x v="5"/>
    <x v="7"/>
    <x v="0"/>
    <x v="6"/>
    <x v="3"/>
    <x v="0"/>
    <x v="3"/>
    <x v="1"/>
    <x v="0"/>
    <x v="1"/>
    <x v="0"/>
    <x v="0"/>
    <x v="1"/>
    <x v="0"/>
    <x v="4"/>
  </r>
  <r>
    <x v="8"/>
    <x v="8"/>
    <x v="2"/>
    <x v="3"/>
    <x v="2"/>
    <x v="0"/>
    <x v="0"/>
    <x v="1"/>
    <x v="6"/>
    <x v="1"/>
    <x v="0"/>
    <x v="0"/>
    <x v="0"/>
    <x v="0"/>
    <x v="1"/>
    <x v="0"/>
    <x v="4"/>
  </r>
  <r>
    <x v="9"/>
    <x v="9"/>
    <x v="6"/>
    <x v="8"/>
    <x v="3"/>
    <x v="2"/>
    <x v="3"/>
    <x v="1"/>
    <x v="7"/>
    <x v="1"/>
    <x v="0"/>
    <x v="1"/>
    <x v="0"/>
    <x v="0"/>
    <x v="1"/>
    <x v="0"/>
    <x v="5"/>
  </r>
  <r>
    <x v="10"/>
    <x v="10"/>
    <x v="0"/>
    <x v="9"/>
    <x v="0"/>
    <x v="7"/>
    <x v="4"/>
    <x v="1"/>
    <x v="4"/>
    <x v="0"/>
    <x v="0"/>
    <x v="0"/>
    <x v="0"/>
    <x v="0"/>
    <x v="0"/>
    <x v="0"/>
    <x v="4"/>
  </r>
  <r>
    <x v="11"/>
    <x v="11"/>
    <x v="4"/>
    <x v="10"/>
    <x v="0"/>
    <x v="8"/>
    <x v="2"/>
    <x v="0"/>
    <x v="1"/>
    <x v="0"/>
    <x v="0"/>
    <x v="0"/>
    <x v="0"/>
    <x v="0"/>
    <x v="0"/>
    <x v="1"/>
    <x v="4"/>
  </r>
  <r>
    <x v="12"/>
    <x v="12"/>
    <x v="7"/>
    <x v="11"/>
    <x v="2"/>
    <x v="9"/>
    <x v="0"/>
    <x v="1"/>
    <x v="2"/>
    <x v="0"/>
    <x v="0"/>
    <x v="1"/>
    <x v="0"/>
    <x v="0"/>
    <x v="2"/>
    <x v="0"/>
    <x v="1"/>
  </r>
  <r>
    <x v="13"/>
    <x v="13"/>
    <x v="1"/>
    <x v="12"/>
    <x v="1"/>
    <x v="10"/>
    <x v="4"/>
    <x v="1"/>
    <x v="5"/>
    <x v="1"/>
    <x v="0"/>
    <x v="0"/>
    <x v="0"/>
    <x v="0"/>
    <x v="3"/>
    <x v="0"/>
    <x v="2"/>
  </r>
  <r>
    <x v="14"/>
    <x v="14"/>
    <x v="4"/>
    <x v="5"/>
    <x v="0"/>
    <x v="11"/>
    <x v="2"/>
    <x v="1"/>
    <x v="2"/>
    <x v="1"/>
    <x v="0"/>
    <x v="0"/>
    <x v="0"/>
    <x v="0"/>
    <x v="2"/>
    <x v="0"/>
    <x v="0"/>
  </r>
  <r>
    <x v="15"/>
    <x v="15"/>
    <x v="8"/>
    <x v="13"/>
    <x v="3"/>
    <x v="10"/>
    <x v="0"/>
    <x v="1"/>
    <x v="6"/>
    <x v="0"/>
    <x v="0"/>
    <x v="1"/>
    <x v="0"/>
    <x v="0"/>
    <x v="4"/>
    <x v="0"/>
    <x v="4"/>
  </r>
  <r>
    <x v="16"/>
    <x v="16"/>
    <x v="2"/>
    <x v="3"/>
    <x v="2"/>
    <x v="3"/>
    <x v="1"/>
    <x v="0"/>
    <x v="6"/>
    <x v="0"/>
    <x v="0"/>
    <x v="1"/>
    <x v="1"/>
    <x v="0"/>
    <x v="4"/>
    <x v="0"/>
    <x v="3"/>
  </r>
  <r>
    <x v="17"/>
    <x v="17"/>
    <x v="3"/>
    <x v="14"/>
    <x v="1"/>
    <x v="11"/>
    <x v="2"/>
    <x v="0"/>
    <x v="6"/>
    <x v="0"/>
    <x v="0"/>
    <x v="1"/>
    <x v="0"/>
    <x v="0"/>
    <x v="1"/>
    <x v="0"/>
    <x v="2"/>
  </r>
  <r>
    <x v="18"/>
    <x v="18"/>
    <x v="9"/>
    <x v="15"/>
    <x v="2"/>
    <x v="12"/>
    <x v="3"/>
    <x v="1"/>
    <x v="6"/>
    <x v="0"/>
    <x v="0"/>
    <x v="1"/>
    <x v="0"/>
    <x v="0"/>
    <x v="4"/>
    <x v="0"/>
    <x v="5"/>
  </r>
  <r>
    <x v="19"/>
    <x v="19"/>
    <x v="6"/>
    <x v="8"/>
    <x v="3"/>
    <x v="13"/>
    <x v="1"/>
    <x v="0"/>
    <x v="7"/>
    <x v="1"/>
    <x v="0"/>
    <x v="1"/>
    <x v="0"/>
    <x v="0"/>
    <x v="2"/>
    <x v="0"/>
    <x v="1"/>
  </r>
  <r>
    <x v="20"/>
    <x v="20"/>
    <x v="0"/>
    <x v="16"/>
    <x v="0"/>
    <x v="14"/>
    <x v="3"/>
    <x v="0"/>
    <x v="2"/>
    <x v="0"/>
    <x v="0"/>
    <x v="1"/>
    <x v="0"/>
    <x v="0"/>
    <x v="3"/>
    <x v="0"/>
    <x v="5"/>
  </r>
  <r>
    <x v="21"/>
    <x v="21"/>
    <x v="1"/>
    <x v="1"/>
    <x v="1"/>
    <x v="6"/>
    <x v="1"/>
    <x v="0"/>
    <x v="7"/>
    <x v="1"/>
    <x v="0"/>
    <x v="1"/>
    <x v="0"/>
    <x v="1"/>
    <x v="3"/>
    <x v="0"/>
    <x v="0"/>
  </r>
  <r>
    <x v="22"/>
    <x v="22"/>
    <x v="3"/>
    <x v="17"/>
    <x v="1"/>
    <x v="15"/>
    <x v="3"/>
    <x v="1"/>
    <x v="2"/>
    <x v="0"/>
    <x v="0"/>
    <x v="1"/>
    <x v="0"/>
    <x v="0"/>
    <x v="1"/>
    <x v="0"/>
    <x v="3"/>
  </r>
  <r>
    <x v="23"/>
    <x v="23"/>
    <x v="2"/>
    <x v="18"/>
    <x v="2"/>
    <x v="1"/>
    <x v="4"/>
    <x v="1"/>
    <x v="2"/>
    <x v="0"/>
    <x v="0"/>
    <x v="0"/>
    <x v="0"/>
    <x v="0"/>
    <x v="3"/>
    <x v="0"/>
    <x v="3"/>
  </r>
  <r>
    <x v="24"/>
    <x v="24"/>
    <x v="6"/>
    <x v="19"/>
    <x v="3"/>
    <x v="9"/>
    <x v="3"/>
    <x v="0"/>
    <x v="0"/>
    <x v="1"/>
    <x v="0"/>
    <x v="1"/>
    <x v="0"/>
    <x v="0"/>
    <x v="3"/>
    <x v="0"/>
    <x v="4"/>
  </r>
  <r>
    <x v="25"/>
    <x v="25"/>
    <x v="1"/>
    <x v="6"/>
    <x v="1"/>
    <x v="12"/>
    <x v="1"/>
    <x v="0"/>
    <x v="2"/>
    <x v="1"/>
    <x v="0"/>
    <x v="0"/>
    <x v="0"/>
    <x v="0"/>
    <x v="2"/>
    <x v="0"/>
    <x v="1"/>
  </r>
  <r>
    <x v="26"/>
    <x v="26"/>
    <x v="8"/>
    <x v="20"/>
    <x v="3"/>
    <x v="8"/>
    <x v="3"/>
    <x v="0"/>
    <x v="1"/>
    <x v="0"/>
    <x v="0"/>
    <x v="1"/>
    <x v="0"/>
    <x v="0"/>
    <x v="4"/>
    <x v="0"/>
    <x v="3"/>
  </r>
  <r>
    <x v="27"/>
    <x v="10"/>
    <x v="0"/>
    <x v="9"/>
    <x v="0"/>
    <x v="16"/>
    <x v="0"/>
    <x v="0"/>
    <x v="6"/>
    <x v="1"/>
    <x v="0"/>
    <x v="1"/>
    <x v="0"/>
    <x v="0"/>
    <x v="2"/>
    <x v="0"/>
    <x v="5"/>
  </r>
  <r>
    <x v="28"/>
    <x v="27"/>
    <x v="9"/>
    <x v="21"/>
    <x v="2"/>
    <x v="6"/>
    <x v="0"/>
    <x v="0"/>
    <x v="2"/>
    <x v="1"/>
    <x v="0"/>
    <x v="0"/>
    <x v="0"/>
    <x v="1"/>
    <x v="2"/>
    <x v="0"/>
    <x v="4"/>
  </r>
  <r>
    <x v="29"/>
    <x v="28"/>
    <x v="6"/>
    <x v="22"/>
    <x v="3"/>
    <x v="12"/>
    <x v="0"/>
    <x v="0"/>
    <x v="2"/>
    <x v="1"/>
    <x v="0"/>
    <x v="1"/>
    <x v="0"/>
    <x v="0"/>
    <x v="2"/>
    <x v="0"/>
    <x v="3"/>
  </r>
  <r>
    <x v="30"/>
    <x v="29"/>
    <x v="3"/>
    <x v="4"/>
    <x v="1"/>
    <x v="17"/>
    <x v="2"/>
    <x v="0"/>
    <x v="7"/>
    <x v="1"/>
    <x v="0"/>
    <x v="1"/>
    <x v="0"/>
    <x v="0"/>
    <x v="3"/>
    <x v="0"/>
    <x v="1"/>
  </r>
  <r>
    <x v="31"/>
    <x v="30"/>
    <x v="4"/>
    <x v="23"/>
    <x v="0"/>
    <x v="8"/>
    <x v="2"/>
    <x v="1"/>
    <x v="2"/>
    <x v="0"/>
    <x v="0"/>
    <x v="1"/>
    <x v="1"/>
    <x v="0"/>
    <x v="3"/>
    <x v="0"/>
    <x v="3"/>
  </r>
  <r>
    <x v="32"/>
    <x v="31"/>
    <x v="9"/>
    <x v="21"/>
    <x v="2"/>
    <x v="12"/>
    <x v="1"/>
    <x v="1"/>
    <x v="7"/>
    <x v="1"/>
    <x v="0"/>
    <x v="0"/>
    <x v="0"/>
    <x v="0"/>
    <x v="1"/>
    <x v="1"/>
    <x v="5"/>
  </r>
  <r>
    <x v="33"/>
    <x v="32"/>
    <x v="4"/>
    <x v="23"/>
    <x v="0"/>
    <x v="12"/>
    <x v="1"/>
    <x v="0"/>
    <x v="6"/>
    <x v="1"/>
    <x v="0"/>
    <x v="1"/>
    <x v="0"/>
    <x v="0"/>
    <x v="0"/>
    <x v="0"/>
    <x v="3"/>
  </r>
  <r>
    <x v="34"/>
    <x v="33"/>
    <x v="4"/>
    <x v="24"/>
    <x v="0"/>
    <x v="14"/>
    <x v="4"/>
    <x v="0"/>
    <x v="3"/>
    <x v="0"/>
    <x v="0"/>
    <x v="0"/>
    <x v="0"/>
    <x v="0"/>
    <x v="4"/>
    <x v="0"/>
    <x v="4"/>
  </r>
  <r>
    <x v="35"/>
    <x v="34"/>
    <x v="10"/>
    <x v="25"/>
    <x v="3"/>
    <x v="11"/>
    <x v="2"/>
    <x v="1"/>
    <x v="1"/>
    <x v="1"/>
    <x v="0"/>
    <x v="1"/>
    <x v="0"/>
    <x v="0"/>
    <x v="2"/>
    <x v="0"/>
    <x v="0"/>
  </r>
  <r>
    <x v="36"/>
    <x v="35"/>
    <x v="5"/>
    <x v="26"/>
    <x v="0"/>
    <x v="9"/>
    <x v="1"/>
    <x v="0"/>
    <x v="0"/>
    <x v="1"/>
    <x v="0"/>
    <x v="1"/>
    <x v="0"/>
    <x v="0"/>
    <x v="1"/>
    <x v="0"/>
    <x v="2"/>
  </r>
  <r>
    <x v="37"/>
    <x v="36"/>
    <x v="7"/>
    <x v="27"/>
    <x v="2"/>
    <x v="6"/>
    <x v="1"/>
    <x v="0"/>
    <x v="6"/>
    <x v="0"/>
    <x v="0"/>
    <x v="0"/>
    <x v="0"/>
    <x v="0"/>
    <x v="3"/>
    <x v="0"/>
    <x v="4"/>
  </r>
  <r>
    <x v="38"/>
    <x v="37"/>
    <x v="10"/>
    <x v="28"/>
    <x v="3"/>
    <x v="12"/>
    <x v="0"/>
    <x v="0"/>
    <x v="2"/>
    <x v="1"/>
    <x v="0"/>
    <x v="1"/>
    <x v="0"/>
    <x v="0"/>
    <x v="4"/>
    <x v="0"/>
    <x v="3"/>
  </r>
  <r>
    <x v="39"/>
    <x v="38"/>
    <x v="3"/>
    <x v="29"/>
    <x v="1"/>
    <x v="18"/>
    <x v="4"/>
    <x v="0"/>
    <x v="4"/>
    <x v="0"/>
    <x v="0"/>
    <x v="0"/>
    <x v="1"/>
    <x v="0"/>
    <x v="1"/>
    <x v="0"/>
    <x v="2"/>
  </r>
  <r>
    <x v="40"/>
    <x v="39"/>
    <x v="0"/>
    <x v="30"/>
    <x v="0"/>
    <x v="0"/>
    <x v="1"/>
    <x v="1"/>
    <x v="0"/>
    <x v="1"/>
    <x v="0"/>
    <x v="0"/>
    <x v="0"/>
    <x v="0"/>
    <x v="0"/>
    <x v="0"/>
    <x v="5"/>
  </r>
  <r>
    <x v="41"/>
    <x v="40"/>
    <x v="11"/>
    <x v="31"/>
    <x v="1"/>
    <x v="15"/>
    <x v="4"/>
    <x v="0"/>
    <x v="1"/>
    <x v="1"/>
    <x v="0"/>
    <x v="0"/>
    <x v="0"/>
    <x v="1"/>
    <x v="1"/>
    <x v="0"/>
    <x v="2"/>
  </r>
  <r>
    <x v="42"/>
    <x v="41"/>
    <x v="9"/>
    <x v="32"/>
    <x v="2"/>
    <x v="5"/>
    <x v="4"/>
    <x v="0"/>
    <x v="1"/>
    <x v="0"/>
    <x v="0"/>
    <x v="1"/>
    <x v="0"/>
    <x v="0"/>
    <x v="1"/>
    <x v="0"/>
    <x v="0"/>
  </r>
  <r>
    <x v="43"/>
    <x v="42"/>
    <x v="9"/>
    <x v="32"/>
    <x v="2"/>
    <x v="2"/>
    <x v="4"/>
    <x v="0"/>
    <x v="7"/>
    <x v="0"/>
    <x v="0"/>
    <x v="1"/>
    <x v="0"/>
    <x v="0"/>
    <x v="2"/>
    <x v="0"/>
    <x v="4"/>
  </r>
  <r>
    <x v="44"/>
    <x v="11"/>
    <x v="4"/>
    <x v="10"/>
    <x v="0"/>
    <x v="10"/>
    <x v="2"/>
    <x v="1"/>
    <x v="6"/>
    <x v="1"/>
    <x v="0"/>
    <x v="0"/>
    <x v="0"/>
    <x v="0"/>
    <x v="4"/>
    <x v="0"/>
    <x v="5"/>
  </r>
  <r>
    <x v="45"/>
    <x v="43"/>
    <x v="4"/>
    <x v="23"/>
    <x v="0"/>
    <x v="8"/>
    <x v="4"/>
    <x v="0"/>
    <x v="7"/>
    <x v="1"/>
    <x v="0"/>
    <x v="0"/>
    <x v="0"/>
    <x v="1"/>
    <x v="4"/>
    <x v="0"/>
    <x v="2"/>
  </r>
  <r>
    <x v="46"/>
    <x v="44"/>
    <x v="4"/>
    <x v="23"/>
    <x v="0"/>
    <x v="12"/>
    <x v="2"/>
    <x v="0"/>
    <x v="6"/>
    <x v="0"/>
    <x v="0"/>
    <x v="0"/>
    <x v="0"/>
    <x v="1"/>
    <x v="2"/>
    <x v="0"/>
    <x v="0"/>
  </r>
  <r>
    <x v="47"/>
    <x v="45"/>
    <x v="3"/>
    <x v="14"/>
    <x v="1"/>
    <x v="4"/>
    <x v="1"/>
    <x v="1"/>
    <x v="4"/>
    <x v="0"/>
    <x v="0"/>
    <x v="0"/>
    <x v="0"/>
    <x v="0"/>
    <x v="1"/>
    <x v="0"/>
    <x v="2"/>
  </r>
  <r>
    <x v="48"/>
    <x v="46"/>
    <x v="0"/>
    <x v="0"/>
    <x v="0"/>
    <x v="11"/>
    <x v="4"/>
    <x v="1"/>
    <x v="7"/>
    <x v="1"/>
    <x v="0"/>
    <x v="1"/>
    <x v="0"/>
    <x v="0"/>
    <x v="3"/>
    <x v="0"/>
    <x v="1"/>
  </r>
  <r>
    <x v="49"/>
    <x v="47"/>
    <x v="9"/>
    <x v="15"/>
    <x v="2"/>
    <x v="16"/>
    <x v="2"/>
    <x v="0"/>
    <x v="4"/>
    <x v="0"/>
    <x v="0"/>
    <x v="0"/>
    <x v="0"/>
    <x v="0"/>
    <x v="3"/>
    <x v="0"/>
    <x v="4"/>
  </r>
  <r>
    <x v="50"/>
    <x v="48"/>
    <x v="8"/>
    <x v="20"/>
    <x v="3"/>
    <x v="11"/>
    <x v="3"/>
    <x v="0"/>
    <x v="1"/>
    <x v="0"/>
    <x v="0"/>
    <x v="0"/>
    <x v="0"/>
    <x v="0"/>
    <x v="1"/>
    <x v="0"/>
    <x v="5"/>
  </r>
  <r>
    <x v="51"/>
    <x v="49"/>
    <x v="9"/>
    <x v="32"/>
    <x v="2"/>
    <x v="1"/>
    <x v="4"/>
    <x v="0"/>
    <x v="3"/>
    <x v="0"/>
    <x v="0"/>
    <x v="1"/>
    <x v="0"/>
    <x v="0"/>
    <x v="2"/>
    <x v="0"/>
    <x v="2"/>
  </r>
  <r>
    <x v="52"/>
    <x v="50"/>
    <x v="10"/>
    <x v="33"/>
    <x v="3"/>
    <x v="19"/>
    <x v="2"/>
    <x v="1"/>
    <x v="5"/>
    <x v="1"/>
    <x v="0"/>
    <x v="0"/>
    <x v="0"/>
    <x v="0"/>
    <x v="1"/>
    <x v="0"/>
    <x v="2"/>
  </r>
  <r>
    <x v="53"/>
    <x v="51"/>
    <x v="10"/>
    <x v="34"/>
    <x v="3"/>
    <x v="11"/>
    <x v="2"/>
    <x v="1"/>
    <x v="3"/>
    <x v="0"/>
    <x v="0"/>
    <x v="0"/>
    <x v="0"/>
    <x v="0"/>
    <x v="3"/>
    <x v="0"/>
    <x v="0"/>
  </r>
  <r>
    <x v="54"/>
    <x v="52"/>
    <x v="11"/>
    <x v="35"/>
    <x v="1"/>
    <x v="12"/>
    <x v="4"/>
    <x v="1"/>
    <x v="4"/>
    <x v="0"/>
    <x v="0"/>
    <x v="1"/>
    <x v="0"/>
    <x v="0"/>
    <x v="3"/>
    <x v="0"/>
    <x v="0"/>
  </r>
  <r>
    <x v="55"/>
    <x v="53"/>
    <x v="1"/>
    <x v="6"/>
    <x v="1"/>
    <x v="5"/>
    <x v="4"/>
    <x v="0"/>
    <x v="4"/>
    <x v="0"/>
    <x v="0"/>
    <x v="1"/>
    <x v="0"/>
    <x v="0"/>
    <x v="4"/>
    <x v="0"/>
    <x v="4"/>
  </r>
  <r>
    <x v="56"/>
    <x v="54"/>
    <x v="8"/>
    <x v="20"/>
    <x v="3"/>
    <x v="4"/>
    <x v="3"/>
    <x v="0"/>
    <x v="1"/>
    <x v="0"/>
    <x v="0"/>
    <x v="1"/>
    <x v="0"/>
    <x v="0"/>
    <x v="0"/>
    <x v="0"/>
    <x v="0"/>
  </r>
  <r>
    <x v="57"/>
    <x v="55"/>
    <x v="1"/>
    <x v="36"/>
    <x v="1"/>
    <x v="19"/>
    <x v="1"/>
    <x v="1"/>
    <x v="2"/>
    <x v="1"/>
    <x v="0"/>
    <x v="1"/>
    <x v="0"/>
    <x v="0"/>
    <x v="0"/>
    <x v="0"/>
    <x v="0"/>
  </r>
  <r>
    <x v="58"/>
    <x v="56"/>
    <x v="6"/>
    <x v="19"/>
    <x v="3"/>
    <x v="16"/>
    <x v="3"/>
    <x v="0"/>
    <x v="0"/>
    <x v="1"/>
    <x v="0"/>
    <x v="0"/>
    <x v="0"/>
    <x v="0"/>
    <x v="4"/>
    <x v="0"/>
    <x v="2"/>
  </r>
  <r>
    <x v="59"/>
    <x v="57"/>
    <x v="1"/>
    <x v="1"/>
    <x v="1"/>
    <x v="13"/>
    <x v="2"/>
    <x v="0"/>
    <x v="3"/>
    <x v="1"/>
    <x v="0"/>
    <x v="1"/>
    <x v="0"/>
    <x v="0"/>
    <x v="0"/>
    <x v="0"/>
    <x v="1"/>
  </r>
  <r>
    <x v="60"/>
    <x v="58"/>
    <x v="7"/>
    <x v="37"/>
    <x v="2"/>
    <x v="8"/>
    <x v="3"/>
    <x v="1"/>
    <x v="3"/>
    <x v="1"/>
    <x v="0"/>
    <x v="0"/>
    <x v="0"/>
    <x v="0"/>
    <x v="1"/>
    <x v="0"/>
    <x v="3"/>
  </r>
  <r>
    <x v="61"/>
    <x v="44"/>
    <x v="4"/>
    <x v="23"/>
    <x v="0"/>
    <x v="0"/>
    <x v="2"/>
    <x v="0"/>
    <x v="0"/>
    <x v="1"/>
    <x v="0"/>
    <x v="0"/>
    <x v="0"/>
    <x v="0"/>
    <x v="4"/>
    <x v="0"/>
    <x v="1"/>
  </r>
  <r>
    <x v="62"/>
    <x v="59"/>
    <x v="1"/>
    <x v="6"/>
    <x v="1"/>
    <x v="19"/>
    <x v="4"/>
    <x v="0"/>
    <x v="6"/>
    <x v="1"/>
    <x v="0"/>
    <x v="1"/>
    <x v="0"/>
    <x v="0"/>
    <x v="3"/>
    <x v="0"/>
    <x v="0"/>
  </r>
  <r>
    <x v="63"/>
    <x v="60"/>
    <x v="8"/>
    <x v="38"/>
    <x v="3"/>
    <x v="6"/>
    <x v="2"/>
    <x v="0"/>
    <x v="4"/>
    <x v="1"/>
    <x v="0"/>
    <x v="1"/>
    <x v="0"/>
    <x v="1"/>
    <x v="4"/>
    <x v="0"/>
    <x v="2"/>
  </r>
  <r>
    <x v="64"/>
    <x v="61"/>
    <x v="11"/>
    <x v="35"/>
    <x v="1"/>
    <x v="7"/>
    <x v="2"/>
    <x v="0"/>
    <x v="6"/>
    <x v="0"/>
    <x v="0"/>
    <x v="0"/>
    <x v="0"/>
    <x v="0"/>
    <x v="1"/>
    <x v="0"/>
    <x v="4"/>
  </r>
  <r>
    <x v="65"/>
    <x v="61"/>
    <x v="11"/>
    <x v="35"/>
    <x v="1"/>
    <x v="17"/>
    <x v="0"/>
    <x v="0"/>
    <x v="6"/>
    <x v="1"/>
    <x v="0"/>
    <x v="1"/>
    <x v="0"/>
    <x v="0"/>
    <x v="1"/>
    <x v="0"/>
    <x v="2"/>
  </r>
  <r>
    <x v="66"/>
    <x v="62"/>
    <x v="6"/>
    <x v="19"/>
    <x v="3"/>
    <x v="9"/>
    <x v="4"/>
    <x v="0"/>
    <x v="4"/>
    <x v="1"/>
    <x v="0"/>
    <x v="0"/>
    <x v="0"/>
    <x v="0"/>
    <x v="2"/>
    <x v="0"/>
    <x v="5"/>
  </r>
  <r>
    <x v="67"/>
    <x v="63"/>
    <x v="8"/>
    <x v="39"/>
    <x v="3"/>
    <x v="3"/>
    <x v="2"/>
    <x v="1"/>
    <x v="6"/>
    <x v="1"/>
    <x v="0"/>
    <x v="0"/>
    <x v="0"/>
    <x v="0"/>
    <x v="2"/>
    <x v="0"/>
    <x v="1"/>
  </r>
  <r>
    <x v="68"/>
    <x v="21"/>
    <x v="1"/>
    <x v="1"/>
    <x v="1"/>
    <x v="2"/>
    <x v="3"/>
    <x v="0"/>
    <x v="3"/>
    <x v="0"/>
    <x v="0"/>
    <x v="0"/>
    <x v="0"/>
    <x v="1"/>
    <x v="1"/>
    <x v="0"/>
    <x v="3"/>
  </r>
  <r>
    <x v="69"/>
    <x v="64"/>
    <x v="11"/>
    <x v="40"/>
    <x v="1"/>
    <x v="11"/>
    <x v="1"/>
    <x v="0"/>
    <x v="7"/>
    <x v="1"/>
    <x v="0"/>
    <x v="1"/>
    <x v="0"/>
    <x v="0"/>
    <x v="3"/>
    <x v="0"/>
    <x v="2"/>
  </r>
  <r>
    <x v="70"/>
    <x v="47"/>
    <x v="9"/>
    <x v="15"/>
    <x v="2"/>
    <x v="12"/>
    <x v="4"/>
    <x v="0"/>
    <x v="2"/>
    <x v="1"/>
    <x v="0"/>
    <x v="1"/>
    <x v="0"/>
    <x v="0"/>
    <x v="4"/>
    <x v="0"/>
    <x v="0"/>
  </r>
  <r>
    <x v="71"/>
    <x v="65"/>
    <x v="4"/>
    <x v="5"/>
    <x v="0"/>
    <x v="12"/>
    <x v="0"/>
    <x v="0"/>
    <x v="4"/>
    <x v="0"/>
    <x v="0"/>
    <x v="0"/>
    <x v="0"/>
    <x v="0"/>
    <x v="4"/>
    <x v="0"/>
    <x v="4"/>
  </r>
  <r>
    <x v="72"/>
    <x v="66"/>
    <x v="11"/>
    <x v="31"/>
    <x v="1"/>
    <x v="6"/>
    <x v="2"/>
    <x v="1"/>
    <x v="7"/>
    <x v="1"/>
    <x v="0"/>
    <x v="1"/>
    <x v="0"/>
    <x v="0"/>
    <x v="3"/>
    <x v="0"/>
    <x v="2"/>
  </r>
  <r>
    <x v="73"/>
    <x v="67"/>
    <x v="5"/>
    <x v="41"/>
    <x v="0"/>
    <x v="12"/>
    <x v="1"/>
    <x v="1"/>
    <x v="1"/>
    <x v="1"/>
    <x v="0"/>
    <x v="0"/>
    <x v="0"/>
    <x v="0"/>
    <x v="0"/>
    <x v="0"/>
    <x v="1"/>
  </r>
  <r>
    <x v="74"/>
    <x v="0"/>
    <x v="0"/>
    <x v="0"/>
    <x v="0"/>
    <x v="15"/>
    <x v="3"/>
    <x v="0"/>
    <x v="3"/>
    <x v="0"/>
    <x v="0"/>
    <x v="1"/>
    <x v="0"/>
    <x v="1"/>
    <x v="0"/>
    <x v="0"/>
    <x v="2"/>
  </r>
  <r>
    <x v="75"/>
    <x v="68"/>
    <x v="11"/>
    <x v="42"/>
    <x v="1"/>
    <x v="19"/>
    <x v="0"/>
    <x v="0"/>
    <x v="0"/>
    <x v="0"/>
    <x v="0"/>
    <x v="0"/>
    <x v="0"/>
    <x v="0"/>
    <x v="2"/>
    <x v="0"/>
    <x v="0"/>
  </r>
  <r>
    <x v="76"/>
    <x v="69"/>
    <x v="7"/>
    <x v="43"/>
    <x v="2"/>
    <x v="12"/>
    <x v="0"/>
    <x v="0"/>
    <x v="3"/>
    <x v="0"/>
    <x v="0"/>
    <x v="0"/>
    <x v="0"/>
    <x v="0"/>
    <x v="1"/>
    <x v="0"/>
    <x v="3"/>
  </r>
  <r>
    <x v="77"/>
    <x v="70"/>
    <x v="8"/>
    <x v="13"/>
    <x v="3"/>
    <x v="12"/>
    <x v="2"/>
    <x v="0"/>
    <x v="1"/>
    <x v="0"/>
    <x v="0"/>
    <x v="1"/>
    <x v="0"/>
    <x v="0"/>
    <x v="2"/>
    <x v="0"/>
    <x v="5"/>
  </r>
  <r>
    <x v="78"/>
    <x v="71"/>
    <x v="9"/>
    <x v="15"/>
    <x v="2"/>
    <x v="3"/>
    <x v="4"/>
    <x v="0"/>
    <x v="3"/>
    <x v="0"/>
    <x v="0"/>
    <x v="1"/>
    <x v="0"/>
    <x v="0"/>
    <x v="4"/>
    <x v="0"/>
    <x v="1"/>
  </r>
  <r>
    <x v="79"/>
    <x v="72"/>
    <x v="4"/>
    <x v="5"/>
    <x v="0"/>
    <x v="16"/>
    <x v="1"/>
    <x v="0"/>
    <x v="6"/>
    <x v="0"/>
    <x v="0"/>
    <x v="1"/>
    <x v="0"/>
    <x v="0"/>
    <x v="4"/>
    <x v="0"/>
    <x v="5"/>
  </r>
  <r>
    <x v="80"/>
    <x v="50"/>
    <x v="10"/>
    <x v="33"/>
    <x v="3"/>
    <x v="4"/>
    <x v="2"/>
    <x v="0"/>
    <x v="5"/>
    <x v="1"/>
    <x v="0"/>
    <x v="1"/>
    <x v="0"/>
    <x v="0"/>
    <x v="1"/>
    <x v="0"/>
    <x v="1"/>
  </r>
  <r>
    <x v="81"/>
    <x v="73"/>
    <x v="8"/>
    <x v="38"/>
    <x v="3"/>
    <x v="16"/>
    <x v="4"/>
    <x v="0"/>
    <x v="3"/>
    <x v="0"/>
    <x v="0"/>
    <x v="1"/>
    <x v="0"/>
    <x v="0"/>
    <x v="1"/>
    <x v="0"/>
    <x v="2"/>
  </r>
  <r>
    <x v="82"/>
    <x v="30"/>
    <x v="4"/>
    <x v="23"/>
    <x v="0"/>
    <x v="7"/>
    <x v="4"/>
    <x v="0"/>
    <x v="0"/>
    <x v="1"/>
    <x v="0"/>
    <x v="0"/>
    <x v="0"/>
    <x v="0"/>
    <x v="4"/>
    <x v="0"/>
    <x v="3"/>
  </r>
  <r>
    <x v="83"/>
    <x v="74"/>
    <x v="7"/>
    <x v="37"/>
    <x v="2"/>
    <x v="7"/>
    <x v="4"/>
    <x v="0"/>
    <x v="3"/>
    <x v="0"/>
    <x v="0"/>
    <x v="1"/>
    <x v="0"/>
    <x v="0"/>
    <x v="2"/>
    <x v="0"/>
    <x v="1"/>
  </r>
  <r>
    <x v="84"/>
    <x v="75"/>
    <x v="7"/>
    <x v="27"/>
    <x v="2"/>
    <x v="8"/>
    <x v="0"/>
    <x v="1"/>
    <x v="0"/>
    <x v="0"/>
    <x v="0"/>
    <x v="0"/>
    <x v="0"/>
    <x v="0"/>
    <x v="1"/>
    <x v="0"/>
    <x v="1"/>
  </r>
  <r>
    <x v="85"/>
    <x v="76"/>
    <x v="8"/>
    <x v="38"/>
    <x v="3"/>
    <x v="6"/>
    <x v="2"/>
    <x v="0"/>
    <x v="1"/>
    <x v="1"/>
    <x v="0"/>
    <x v="1"/>
    <x v="0"/>
    <x v="0"/>
    <x v="1"/>
    <x v="0"/>
    <x v="4"/>
  </r>
  <r>
    <x v="86"/>
    <x v="77"/>
    <x v="4"/>
    <x v="24"/>
    <x v="0"/>
    <x v="8"/>
    <x v="3"/>
    <x v="0"/>
    <x v="3"/>
    <x v="0"/>
    <x v="0"/>
    <x v="1"/>
    <x v="0"/>
    <x v="0"/>
    <x v="2"/>
    <x v="0"/>
    <x v="0"/>
  </r>
  <r>
    <x v="87"/>
    <x v="78"/>
    <x v="8"/>
    <x v="39"/>
    <x v="3"/>
    <x v="0"/>
    <x v="0"/>
    <x v="0"/>
    <x v="6"/>
    <x v="0"/>
    <x v="0"/>
    <x v="0"/>
    <x v="0"/>
    <x v="0"/>
    <x v="1"/>
    <x v="0"/>
    <x v="0"/>
  </r>
  <r>
    <x v="88"/>
    <x v="79"/>
    <x v="5"/>
    <x v="41"/>
    <x v="0"/>
    <x v="0"/>
    <x v="0"/>
    <x v="0"/>
    <x v="0"/>
    <x v="0"/>
    <x v="0"/>
    <x v="0"/>
    <x v="0"/>
    <x v="0"/>
    <x v="0"/>
    <x v="0"/>
    <x v="3"/>
  </r>
  <r>
    <x v="89"/>
    <x v="39"/>
    <x v="0"/>
    <x v="30"/>
    <x v="0"/>
    <x v="8"/>
    <x v="4"/>
    <x v="1"/>
    <x v="6"/>
    <x v="0"/>
    <x v="0"/>
    <x v="0"/>
    <x v="0"/>
    <x v="0"/>
    <x v="2"/>
    <x v="0"/>
    <x v="3"/>
  </r>
  <r>
    <x v="90"/>
    <x v="35"/>
    <x v="5"/>
    <x v="26"/>
    <x v="0"/>
    <x v="15"/>
    <x v="2"/>
    <x v="0"/>
    <x v="7"/>
    <x v="1"/>
    <x v="0"/>
    <x v="1"/>
    <x v="0"/>
    <x v="0"/>
    <x v="4"/>
    <x v="0"/>
    <x v="2"/>
  </r>
  <r>
    <x v="91"/>
    <x v="80"/>
    <x v="7"/>
    <x v="37"/>
    <x v="2"/>
    <x v="16"/>
    <x v="4"/>
    <x v="0"/>
    <x v="7"/>
    <x v="0"/>
    <x v="0"/>
    <x v="0"/>
    <x v="0"/>
    <x v="1"/>
    <x v="0"/>
    <x v="0"/>
    <x v="3"/>
  </r>
  <r>
    <x v="92"/>
    <x v="81"/>
    <x v="2"/>
    <x v="44"/>
    <x v="2"/>
    <x v="16"/>
    <x v="2"/>
    <x v="0"/>
    <x v="0"/>
    <x v="0"/>
    <x v="0"/>
    <x v="0"/>
    <x v="0"/>
    <x v="0"/>
    <x v="4"/>
    <x v="1"/>
    <x v="4"/>
  </r>
  <r>
    <x v="93"/>
    <x v="82"/>
    <x v="0"/>
    <x v="30"/>
    <x v="0"/>
    <x v="19"/>
    <x v="4"/>
    <x v="0"/>
    <x v="0"/>
    <x v="1"/>
    <x v="0"/>
    <x v="0"/>
    <x v="1"/>
    <x v="0"/>
    <x v="2"/>
    <x v="0"/>
    <x v="5"/>
  </r>
  <r>
    <x v="94"/>
    <x v="83"/>
    <x v="4"/>
    <x v="24"/>
    <x v="0"/>
    <x v="1"/>
    <x v="2"/>
    <x v="0"/>
    <x v="3"/>
    <x v="1"/>
    <x v="0"/>
    <x v="0"/>
    <x v="1"/>
    <x v="0"/>
    <x v="4"/>
    <x v="1"/>
    <x v="4"/>
  </r>
  <r>
    <x v="95"/>
    <x v="84"/>
    <x v="3"/>
    <x v="4"/>
    <x v="1"/>
    <x v="14"/>
    <x v="1"/>
    <x v="1"/>
    <x v="0"/>
    <x v="1"/>
    <x v="0"/>
    <x v="1"/>
    <x v="0"/>
    <x v="0"/>
    <x v="3"/>
    <x v="0"/>
    <x v="3"/>
  </r>
  <r>
    <x v="96"/>
    <x v="85"/>
    <x v="2"/>
    <x v="2"/>
    <x v="2"/>
    <x v="10"/>
    <x v="3"/>
    <x v="0"/>
    <x v="2"/>
    <x v="1"/>
    <x v="0"/>
    <x v="1"/>
    <x v="0"/>
    <x v="0"/>
    <x v="4"/>
    <x v="0"/>
    <x v="1"/>
  </r>
  <r>
    <x v="97"/>
    <x v="12"/>
    <x v="7"/>
    <x v="11"/>
    <x v="2"/>
    <x v="6"/>
    <x v="3"/>
    <x v="0"/>
    <x v="0"/>
    <x v="0"/>
    <x v="0"/>
    <x v="1"/>
    <x v="0"/>
    <x v="0"/>
    <x v="4"/>
    <x v="0"/>
    <x v="1"/>
  </r>
  <r>
    <x v="98"/>
    <x v="86"/>
    <x v="11"/>
    <x v="42"/>
    <x v="1"/>
    <x v="6"/>
    <x v="4"/>
    <x v="0"/>
    <x v="4"/>
    <x v="0"/>
    <x v="0"/>
    <x v="1"/>
    <x v="0"/>
    <x v="0"/>
    <x v="3"/>
    <x v="0"/>
    <x v="3"/>
  </r>
  <r>
    <x v="99"/>
    <x v="87"/>
    <x v="5"/>
    <x v="41"/>
    <x v="0"/>
    <x v="4"/>
    <x v="3"/>
    <x v="0"/>
    <x v="3"/>
    <x v="1"/>
    <x v="0"/>
    <x v="1"/>
    <x v="0"/>
    <x v="0"/>
    <x v="2"/>
    <x v="1"/>
    <x v="2"/>
  </r>
  <r>
    <x v="100"/>
    <x v="88"/>
    <x v="4"/>
    <x v="24"/>
    <x v="0"/>
    <x v="16"/>
    <x v="2"/>
    <x v="0"/>
    <x v="5"/>
    <x v="1"/>
    <x v="0"/>
    <x v="0"/>
    <x v="0"/>
    <x v="0"/>
    <x v="0"/>
    <x v="0"/>
    <x v="2"/>
  </r>
  <r>
    <x v="101"/>
    <x v="89"/>
    <x v="7"/>
    <x v="43"/>
    <x v="2"/>
    <x v="7"/>
    <x v="0"/>
    <x v="0"/>
    <x v="0"/>
    <x v="1"/>
    <x v="0"/>
    <x v="1"/>
    <x v="0"/>
    <x v="0"/>
    <x v="1"/>
    <x v="0"/>
    <x v="4"/>
  </r>
  <r>
    <x v="102"/>
    <x v="30"/>
    <x v="4"/>
    <x v="23"/>
    <x v="0"/>
    <x v="17"/>
    <x v="1"/>
    <x v="1"/>
    <x v="4"/>
    <x v="0"/>
    <x v="0"/>
    <x v="1"/>
    <x v="1"/>
    <x v="0"/>
    <x v="1"/>
    <x v="0"/>
    <x v="4"/>
  </r>
  <r>
    <x v="103"/>
    <x v="76"/>
    <x v="8"/>
    <x v="38"/>
    <x v="3"/>
    <x v="8"/>
    <x v="4"/>
    <x v="0"/>
    <x v="0"/>
    <x v="0"/>
    <x v="0"/>
    <x v="1"/>
    <x v="0"/>
    <x v="0"/>
    <x v="3"/>
    <x v="0"/>
    <x v="2"/>
  </r>
  <r>
    <x v="104"/>
    <x v="90"/>
    <x v="10"/>
    <x v="28"/>
    <x v="3"/>
    <x v="1"/>
    <x v="4"/>
    <x v="1"/>
    <x v="6"/>
    <x v="1"/>
    <x v="0"/>
    <x v="1"/>
    <x v="0"/>
    <x v="0"/>
    <x v="4"/>
    <x v="0"/>
    <x v="4"/>
  </r>
  <r>
    <x v="105"/>
    <x v="91"/>
    <x v="2"/>
    <x v="3"/>
    <x v="2"/>
    <x v="9"/>
    <x v="2"/>
    <x v="0"/>
    <x v="7"/>
    <x v="1"/>
    <x v="0"/>
    <x v="0"/>
    <x v="0"/>
    <x v="0"/>
    <x v="4"/>
    <x v="0"/>
    <x v="5"/>
  </r>
  <r>
    <x v="106"/>
    <x v="92"/>
    <x v="1"/>
    <x v="12"/>
    <x v="1"/>
    <x v="12"/>
    <x v="4"/>
    <x v="0"/>
    <x v="0"/>
    <x v="0"/>
    <x v="0"/>
    <x v="1"/>
    <x v="0"/>
    <x v="0"/>
    <x v="4"/>
    <x v="0"/>
    <x v="1"/>
  </r>
  <r>
    <x v="107"/>
    <x v="93"/>
    <x v="3"/>
    <x v="45"/>
    <x v="1"/>
    <x v="1"/>
    <x v="4"/>
    <x v="1"/>
    <x v="4"/>
    <x v="1"/>
    <x v="0"/>
    <x v="0"/>
    <x v="1"/>
    <x v="1"/>
    <x v="1"/>
    <x v="0"/>
    <x v="5"/>
  </r>
  <r>
    <x v="108"/>
    <x v="94"/>
    <x v="3"/>
    <x v="14"/>
    <x v="1"/>
    <x v="17"/>
    <x v="3"/>
    <x v="0"/>
    <x v="4"/>
    <x v="1"/>
    <x v="0"/>
    <x v="1"/>
    <x v="0"/>
    <x v="0"/>
    <x v="2"/>
    <x v="0"/>
    <x v="2"/>
  </r>
  <r>
    <x v="109"/>
    <x v="95"/>
    <x v="9"/>
    <x v="21"/>
    <x v="2"/>
    <x v="14"/>
    <x v="3"/>
    <x v="0"/>
    <x v="0"/>
    <x v="0"/>
    <x v="0"/>
    <x v="1"/>
    <x v="0"/>
    <x v="0"/>
    <x v="0"/>
    <x v="0"/>
    <x v="1"/>
  </r>
  <r>
    <x v="110"/>
    <x v="26"/>
    <x v="8"/>
    <x v="20"/>
    <x v="3"/>
    <x v="11"/>
    <x v="3"/>
    <x v="0"/>
    <x v="5"/>
    <x v="1"/>
    <x v="0"/>
    <x v="0"/>
    <x v="0"/>
    <x v="0"/>
    <x v="1"/>
    <x v="0"/>
    <x v="3"/>
  </r>
  <r>
    <x v="111"/>
    <x v="96"/>
    <x v="4"/>
    <x v="10"/>
    <x v="0"/>
    <x v="18"/>
    <x v="1"/>
    <x v="0"/>
    <x v="6"/>
    <x v="1"/>
    <x v="0"/>
    <x v="0"/>
    <x v="1"/>
    <x v="0"/>
    <x v="2"/>
    <x v="0"/>
    <x v="5"/>
  </r>
  <r>
    <x v="112"/>
    <x v="97"/>
    <x v="10"/>
    <x v="28"/>
    <x v="3"/>
    <x v="17"/>
    <x v="3"/>
    <x v="0"/>
    <x v="3"/>
    <x v="0"/>
    <x v="0"/>
    <x v="1"/>
    <x v="1"/>
    <x v="0"/>
    <x v="3"/>
    <x v="0"/>
    <x v="5"/>
  </r>
  <r>
    <x v="113"/>
    <x v="98"/>
    <x v="10"/>
    <x v="33"/>
    <x v="3"/>
    <x v="9"/>
    <x v="4"/>
    <x v="1"/>
    <x v="7"/>
    <x v="0"/>
    <x v="0"/>
    <x v="1"/>
    <x v="0"/>
    <x v="0"/>
    <x v="3"/>
    <x v="0"/>
    <x v="4"/>
  </r>
  <r>
    <x v="114"/>
    <x v="99"/>
    <x v="6"/>
    <x v="8"/>
    <x v="3"/>
    <x v="10"/>
    <x v="4"/>
    <x v="0"/>
    <x v="3"/>
    <x v="0"/>
    <x v="0"/>
    <x v="1"/>
    <x v="0"/>
    <x v="0"/>
    <x v="3"/>
    <x v="0"/>
    <x v="4"/>
  </r>
  <r>
    <x v="115"/>
    <x v="100"/>
    <x v="4"/>
    <x v="46"/>
    <x v="0"/>
    <x v="7"/>
    <x v="4"/>
    <x v="0"/>
    <x v="2"/>
    <x v="1"/>
    <x v="0"/>
    <x v="0"/>
    <x v="0"/>
    <x v="0"/>
    <x v="1"/>
    <x v="1"/>
    <x v="2"/>
  </r>
  <r>
    <x v="116"/>
    <x v="101"/>
    <x v="8"/>
    <x v="38"/>
    <x v="3"/>
    <x v="9"/>
    <x v="4"/>
    <x v="0"/>
    <x v="6"/>
    <x v="0"/>
    <x v="0"/>
    <x v="1"/>
    <x v="0"/>
    <x v="0"/>
    <x v="3"/>
    <x v="0"/>
    <x v="1"/>
  </r>
  <r>
    <x v="117"/>
    <x v="20"/>
    <x v="0"/>
    <x v="16"/>
    <x v="0"/>
    <x v="7"/>
    <x v="3"/>
    <x v="0"/>
    <x v="2"/>
    <x v="0"/>
    <x v="0"/>
    <x v="1"/>
    <x v="0"/>
    <x v="0"/>
    <x v="2"/>
    <x v="0"/>
    <x v="0"/>
  </r>
  <r>
    <x v="118"/>
    <x v="86"/>
    <x v="11"/>
    <x v="42"/>
    <x v="1"/>
    <x v="18"/>
    <x v="2"/>
    <x v="0"/>
    <x v="0"/>
    <x v="0"/>
    <x v="0"/>
    <x v="1"/>
    <x v="0"/>
    <x v="0"/>
    <x v="3"/>
    <x v="1"/>
    <x v="5"/>
  </r>
  <r>
    <x v="119"/>
    <x v="102"/>
    <x v="7"/>
    <x v="47"/>
    <x v="2"/>
    <x v="7"/>
    <x v="2"/>
    <x v="0"/>
    <x v="6"/>
    <x v="1"/>
    <x v="0"/>
    <x v="0"/>
    <x v="0"/>
    <x v="0"/>
    <x v="0"/>
    <x v="0"/>
    <x v="1"/>
  </r>
  <r>
    <x v="120"/>
    <x v="103"/>
    <x v="10"/>
    <x v="25"/>
    <x v="3"/>
    <x v="8"/>
    <x v="0"/>
    <x v="0"/>
    <x v="2"/>
    <x v="1"/>
    <x v="0"/>
    <x v="1"/>
    <x v="0"/>
    <x v="0"/>
    <x v="0"/>
    <x v="0"/>
    <x v="4"/>
  </r>
  <r>
    <x v="121"/>
    <x v="104"/>
    <x v="8"/>
    <x v="39"/>
    <x v="3"/>
    <x v="2"/>
    <x v="4"/>
    <x v="1"/>
    <x v="2"/>
    <x v="0"/>
    <x v="0"/>
    <x v="1"/>
    <x v="0"/>
    <x v="1"/>
    <x v="3"/>
    <x v="0"/>
    <x v="3"/>
  </r>
  <r>
    <x v="122"/>
    <x v="105"/>
    <x v="2"/>
    <x v="18"/>
    <x v="2"/>
    <x v="17"/>
    <x v="3"/>
    <x v="0"/>
    <x v="7"/>
    <x v="1"/>
    <x v="0"/>
    <x v="1"/>
    <x v="0"/>
    <x v="0"/>
    <x v="1"/>
    <x v="0"/>
    <x v="4"/>
  </r>
  <r>
    <x v="123"/>
    <x v="106"/>
    <x v="5"/>
    <x v="48"/>
    <x v="0"/>
    <x v="16"/>
    <x v="1"/>
    <x v="1"/>
    <x v="2"/>
    <x v="0"/>
    <x v="0"/>
    <x v="0"/>
    <x v="0"/>
    <x v="1"/>
    <x v="1"/>
    <x v="0"/>
    <x v="5"/>
  </r>
  <r>
    <x v="124"/>
    <x v="33"/>
    <x v="4"/>
    <x v="24"/>
    <x v="0"/>
    <x v="10"/>
    <x v="3"/>
    <x v="1"/>
    <x v="7"/>
    <x v="0"/>
    <x v="0"/>
    <x v="0"/>
    <x v="0"/>
    <x v="0"/>
    <x v="1"/>
    <x v="0"/>
    <x v="2"/>
  </r>
  <r>
    <x v="125"/>
    <x v="15"/>
    <x v="8"/>
    <x v="13"/>
    <x v="3"/>
    <x v="19"/>
    <x v="2"/>
    <x v="0"/>
    <x v="5"/>
    <x v="1"/>
    <x v="0"/>
    <x v="1"/>
    <x v="0"/>
    <x v="0"/>
    <x v="1"/>
    <x v="0"/>
    <x v="0"/>
  </r>
  <r>
    <x v="126"/>
    <x v="107"/>
    <x v="4"/>
    <x v="10"/>
    <x v="0"/>
    <x v="2"/>
    <x v="1"/>
    <x v="0"/>
    <x v="1"/>
    <x v="0"/>
    <x v="0"/>
    <x v="0"/>
    <x v="0"/>
    <x v="0"/>
    <x v="1"/>
    <x v="0"/>
    <x v="4"/>
  </r>
  <r>
    <x v="127"/>
    <x v="108"/>
    <x v="7"/>
    <x v="37"/>
    <x v="2"/>
    <x v="2"/>
    <x v="3"/>
    <x v="0"/>
    <x v="0"/>
    <x v="0"/>
    <x v="0"/>
    <x v="0"/>
    <x v="0"/>
    <x v="0"/>
    <x v="0"/>
    <x v="0"/>
    <x v="0"/>
  </r>
  <r>
    <x v="128"/>
    <x v="24"/>
    <x v="6"/>
    <x v="19"/>
    <x v="3"/>
    <x v="6"/>
    <x v="4"/>
    <x v="1"/>
    <x v="0"/>
    <x v="1"/>
    <x v="0"/>
    <x v="0"/>
    <x v="0"/>
    <x v="0"/>
    <x v="3"/>
    <x v="0"/>
    <x v="3"/>
  </r>
  <r>
    <x v="129"/>
    <x v="109"/>
    <x v="5"/>
    <x v="46"/>
    <x v="0"/>
    <x v="13"/>
    <x v="1"/>
    <x v="0"/>
    <x v="0"/>
    <x v="1"/>
    <x v="0"/>
    <x v="0"/>
    <x v="0"/>
    <x v="0"/>
    <x v="0"/>
    <x v="0"/>
    <x v="2"/>
  </r>
  <r>
    <x v="130"/>
    <x v="110"/>
    <x v="11"/>
    <x v="42"/>
    <x v="1"/>
    <x v="16"/>
    <x v="0"/>
    <x v="1"/>
    <x v="6"/>
    <x v="1"/>
    <x v="0"/>
    <x v="0"/>
    <x v="0"/>
    <x v="0"/>
    <x v="4"/>
    <x v="0"/>
    <x v="1"/>
  </r>
  <r>
    <x v="131"/>
    <x v="111"/>
    <x v="0"/>
    <x v="16"/>
    <x v="0"/>
    <x v="15"/>
    <x v="2"/>
    <x v="0"/>
    <x v="7"/>
    <x v="0"/>
    <x v="0"/>
    <x v="1"/>
    <x v="0"/>
    <x v="0"/>
    <x v="4"/>
    <x v="1"/>
    <x v="4"/>
  </r>
  <r>
    <x v="132"/>
    <x v="112"/>
    <x v="7"/>
    <x v="37"/>
    <x v="2"/>
    <x v="13"/>
    <x v="2"/>
    <x v="0"/>
    <x v="0"/>
    <x v="1"/>
    <x v="0"/>
    <x v="0"/>
    <x v="0"/>
    <x v="0"/>
    <x v="3"/>
    <x v="1"/>
    <x v="5"/>
  </r>
  <r>
    <x v="133"/>
    <x v="111"/>
    <x v="0"/>
    <x v="16"/>
    <x v="0"/>
    <x v="16"/>
    <x v="4"/>
    <x v="0"/>
    <x v="1"/>
    <x v="1"/>
    <x v="0"/>
    <x v="1"/>
    <x v="0"/>
    <x v="1"/>
    <x v="3"/>
    <x v="0"/>
    <x v="5"/>
  </r>
  <r>
    <x v="134"/>
    <x v="113"/>
    <x v="8"/>
    <x v="13"/>
    <x v="3"/>
    <x v="16"/>
    <x v="1"/>
    <x v="0"/>
    <x v="2"/>
    <x v="0"/>
    <x v="0"/>
    <x v="1"/>
    <x v="0"/>
    <x v="0"/>
    <x v="2"/>
    <x v="0"/>
    <x v="5"/>
  </r>
  <r>
    <x v="135"/>
    <x v="114"/>
    <x v="2"/>
    <x v="49"/>
    <x v="2"/>
    <x v="14"/>
    <x v="3"/>
    <x v="1"/>
    <x v="0"/>
    <x v="1"/>
    <x v="0"/>
    <x v="0"/>
    <x v="0"/>
    <x v="0"/>
    <x v="0"/>
    <x v="0"/>
    <x v="5"/>
  </r>
  <r>
    <x v="136"/>
    <x v="115"/>
    <x v="5"/>
    <x v="26"/>
    <x v="0"/>
    <x v="14"/>
    <x v="2"/>
    <x v="0"/>
    <x v="1"/>
    <x v="1"/>
    <x v="0"/>
    <x v="0"/>
    <x v="0"/>
    <x v="0"/>
    <x v="4"/>
    <x v="0"/>
    <x v="1"/>
  </r>
  <r>
    <x v="137"/>
    <x v="116"/>
    <x v="3"/>
    <x v="17"/>
    <x v="1"/>
    <x v="19"/>
    <x v="4"/>
    <x v="1"/>
    <x v="0"/>
    <x v="1"/>
    <x v="0"/>
    <x v="1"/>
    <x v="0"/>
    <x v="0"/>
    <x v="3"/>
    <x v="1"/>
    <x v="5"/>
  </r>
  <r>
    <x v="138"/>
    <x v="48"/>
    <x v="8"/>
    <x v="20"/>
    <x v="3"/>
    <x v="1"/>
    <x v="3"/>
    <x v="0"/>
    <x v="4"/>
    <x v="0"/>
    <x v="0"/>
    <x v="1"/>
    <x v="0"/>
    <x v="0"/>
    <x v="1"/>
    <x v="1"/>
    <x v="3"/>
  </r>
  <r>
    <x v="139"/>
    <x v="101"/>
    <x v="8"/>
    <x v="38"/>
    <x v="3"/>
    <x v="17"/>
    <x v="0"/>
    <x v="0"/>
    <x v="5"/>
    <x v="0"/>
    <x v="0"/>
    <x v="1"/>
    <x v="0"/>
    <x v="0"/>
    <x v="4"/>
    <x v="0"/>
    <x v="3"/>
  </r>
  <r>
    <x v="140"/>
    <x v="44"/>
    <x v="4"/>
    <x v="23"/>
    <x v="0"/>
    <x v="4"/>
    <x v="0"/>
    <x v="0"/>
    <x v="4"/>
    <x v="1"/>
    <x v="0"/>
    <x v="0"/>
    <x v="1"/>
    <x v="0"/>
    <x v="4"/>
    <x v="0"/>
    <x v="2"/>
  </r>
  <r>
    <x v="141"/>
    <x v="117"/>
    <x v="11"/>
    <x v="31"/>
    <x v="1"/>
    <x v="4"/>
    <x v="2"/>
    <x v="0"/>
    <x v="1"/>
    <x v="0"/>
    <x v="0"/>
    <x v="0"/>
    <x v="0"/>
    <x v="0"/>
    <x v="0"/>
    <x v="0"/>
    <x v="4"/>
  </r>
  <r>
    <x v="142"/>
    <x v="58"/>
    <x v="7"/>
    <x v="37"/>
    <x v="2"/>
    <x v="12"/>
    <x v="1"/>
    <x v="0"/>
    <x v="0"/>
    <x v="1"/>
    <x v="0"/>
    <x v="0"/>
    <x v="0"/>
    <x v="0"/>
    <x v="2"/>
    <x v="0"/>
    <x v="5"/>
  </r>
  <r>
    <x v="143"/>
    <x v="118"/>
    <x v="5"/>
    <x v="41"/>
    <x v="0"/>
    <x v="6"/>
    <x v="2"/>
    <x v="0"/>
    <x v="1"/>
    <x v="1"/>
    <x v="0"/>
    <x v="1"/>
    <x v="0"/>
    <x v="0"/>
    <x v="1"/>
    <x v="0"/>
    <x v="3"/>
  </r>
  <r>
    <x v="144"/>
    <x v="119"/>
    <x v="2"/>
    <x v="49"/>
    <x v="2"/>
    <x v="6"/>
    <x v="4"/>
    <x v="0"/>
    <x v="2"/>
    <x v="1"/>
    <x v="0"/>
    <x v="1"/>
    <x v="0"/>
    <x v="0"/>
    <x v="1"/>
    <x v="0"/>
    <x v="0"/>
  </r>
  <r>
    <x v="145"/>
    <x v="120"/>
    <x v="4"/>
    <x v="24"/>
    <x v="0"/>
    <x v="14"/>
    <x v="0"/>
    <x v="0"/>
    <x v="6"/>
    <x v="1"/>
    <x v="0"/>
    <x v="1"/>
    <x v="0"/>
    <x v="0"/>
    <x v="2"/>
    <x v="0"/>
    <x v="2"/>
  </r>
  <r>
    <x v="146"/>
    <x v="36"/>
    <x v="7"/>
    <x v="27"/>
    <x v="2"/>
    <x v="19"/>
    <x v="3"/>
    <x v="1"/>
    <x v="6"/>
    <x v="1"/>
    <x v="0"/>
    <x v="1"/>
    <x v="0"/>
    <x v="0"/>
    <x v="2"/>
    <x v="0"/>
    <x v="3"/>
  </r>
  <r>
    <x v="147"/>
    <x v="121"/>
    <x v="2"/>
    <x v="44"/>
    <x v="2"/>
    <x v="13"/>
    <x v="2"/>
    <x v="0"/>
    <x v="6"/>
    <x v="0"/>
    <x v="0"/>
    <x v="1"/>
    <x v="0"/>
    <x v="0"/>
    <x v="0"/>
    <x v="0"/>
    <x v="1"/>
  </r>
  <r>
    <x v="148"/>
    <x v="122"/>
    <x v="2"/>
    <x v="18"/>
    <x v="2"/>
    <x v="19"/>
    <x v="3"/>
    <x v="1"/>
    <x v="3"/>
    <x v="1"/>
    <x v="0"/>
    <x v="0"/>
    <x v="0"/>
    <x v="0"/>
    <x v="3"/>
    <x v="0"/>
    <x v="0"/>
  </r>
  <r>
    <x v="149"/>
    <x v="37"/>
    <x v="10"/>
    <x v="28"/>
    <x v="3"/>
    <x v="6"/>
    <x v="2"/>
    <x v="0"/>
    <x v="3"/>
    <x v="1"/>
    <x v="0"/>
    <x v="1"/>
    <x v="0"/>
    <x v="0"/>
    <x v="1"/>
    <x v="0"/>
    <x v="2"/>
  </r>
  <r>
    <x v="150"/>
    <x v="123"/>
    <x v="10"/>
    <x v="33"/>
    <x v="3"/>
    <x v="13"/>
    <x v="1"/>
    <x v="0"/>
    <x v="2"/>
    <x v="1"/>
    <x v="0"/>
    <x v="0"/>
    <x v="0"/>
    <x v="0"/>
    <x v="1"/>
    <x v="0"/>
    <x v="2"/>
  </r>
  <r>
    <x v="151"/>
    <x v="124"/>
    <x v="1"/>
    <x v="6"/>
    <x v="1"/>
    <x v="12"/>
    <x v="2"/>
    <x v="0"/>
    <x v="0"/>
    <x v="1"/>
    <x v="0"/>
    <x v="0"/>
    <x v="0"/>
    <x v="0"/>
    <x v="0"/>
    <x v="0"/>
    <x v="3"/>
  </r>
  <r>
    <x v="152"/>
    <x v="125"/>
    <x v="11"/>
    <x v="35"/>
    <x v="1"/>
    <x v="0"/>
    <x v="1"/>
    <x v="0"/>
    <x v="0"/>
    <x v="1"/>
    <x v="0"/>
    <x v="1"/>
    <x v="0"/>
    <x v="0"/>
    <x v="2"/>
    <x v="0"/>
    <x v="1"/>
  </r>
  <r>
    <x v="153"/>
    <x v="106"/>
    <x v="5"/>
    <x v="48"/>
    <x v="0"/>
    <x v="4"/>
    <x v="3"/>
    <x v="1"/>
    <x v="2"/>
    <x v="1"/>
    <x v="0"/>
    <x v="0"/>
    <x v="0"/>
    <x v="0"/>
    <x v="0"/>
    <x v="0"/>
    <x v="1"/>
  </r>
  <r>
    <x v="154"/>
    <x v="126"/>
    <x v="2"/>
    <x v="44"/>
    <x v="2"/>
    <x v="8"/>
    <x v="2"/>
    <x v="1"/>
    <x v="1"/>
    <x v="0"/>
    <x v="0"/>
    <x v="1"/>
    <x v="0"/>
    <x v="0"/>
    <x v="4"/>
    <x v="0"/>
    <x v="1"/>
  </r>
  <r>
    <x v="155"/>
    <x v="127"/>
    <x v="3"/>
    <x v="45"/>
    <x v="1"/>
    <x v="1"/>
    <x v="2"/>
    <x v="0"/>
    <x v="0"/>
    <x v="1"/>
    <x v="0"/>
    <x v="0"/>
    <x v="0"/>
    <x v="0"/>
    <x v="3"/>
    <x v="0"/>
    <x v="2"/>
  </r>
  <r>
    <x v="156"/>
    <x v="128"/>
    <x v="3"/>
    <x v="29"/>
    <x v="1"/>
    <x v="10"/>
    <x v="1"/>
    <x v="0"/>
    <x v="7"/>
    <x v="0"/>
    <x v="0"/>
    <x v="0"/>
    <x v="0"/>
    <x v="0"/>
    <x v="4"/>
    <x v="0"/>
    <x v="5"/>
  </r>
  <r>
    <x v="157"/>
    <x v="129"/>
    <x v="7"/>
    <x v="37"/>
    <x v="2"/>
    <x v="15"/>
    <x v="3"/>
    <x v="0"/>
    <x v="2"/>
    <x v="0"/>
    <x v="0"/>
    <x v="1"/>
    <x v="0"/>
    <x v="0"/>
    <x v="3"/>
    <x v="0"/>
    <x v="0"/>
  </r>
  <r>
    <x v="158"/>
    <x v="130"/>
    <x v="2"/>
    <x v="2"/>
    <x v="2"/>
    <x v="2"/>
    <x v="3"/>
    <x v="0"/>
    <x v="3"/>
    <x v="1"/>
    <x v="0"/>
    <x v="0"/>
    <x v="0"/>
    <x v="0"/>
    <x v="4"/>
    <x v="0"/>
    <x v="4"/>
  </r>
  <r>
    <x v="159"/>
    <x v="37"/>
    <x v="10"/>
    <x v="28"/>
    <x v="3"/>
    <x v="8"/>
    <x v="4"/>
    <x v="1"/>
    <x v="5"/>
    <x v="0"/>
    <x v="0"/>
    <x v="1"/>
    <x v="1"/>
    <x v="0"/>
    <x v="0"/>
    <x v="0"/>
    <x v="3"/>
  </r>
  <r>
    <x v="160"/>
    <x v="20"/>
    <x v="0"/>
    <x v="16"/>
    <x v="0"/>
    <x v="0"/>
    <x v="3"/>
    <x v="0"/>
    <x v="7"/>
    <x v="0"/>
    <x v="0"/>
    <x v="1"/>
    <x v="0"/>
    <x v="0"/>
    <x v="4"/>
    <x v="0"/>
    <x v="5"/>
  </r>
  <r>
    <x v="161"/>
    <x v="98"/>
    <x v="10"/>
    <x v="33"/>
    <x v="3"/>
    <x v="17"/>
    <x v="2"/>
    <x v="1"/>
    <x v="3"/>
    <x v="1"/>
    <x v="0"/>
    <x v="1"/>
    <x v="0"/>
    <x v="0"/>
    <x v="3"/>
    <x v="0"/>
    <x v="4"/>
  </r>
  <r>
    <x v="162"/>
    <x v="131"/>
    <x v="9"/>
    <x v="50"/>
    <x v="2"/>
    <x v="13"/>
    <x v="0"/>
    <x v="1"/>
    <x v="6"/>
    <x v="0"/>
    <x v="0"/>
    <x v="0"/>
    <x v="0"/>
    <x v="0"/>
    <x v="3"/>
    <x v="0"/>
    <x v="2"/>
  </r>
  <r>
    <x v="163"/>
    <x v="130"/>
    <x v="2"/>
    <x v="2"/>
    <x v="2"/>
    <x v="11"/>
    <x v="1"/>
    <x v="0"/>
    <x v="4"/>
    <x v="1"/>
    <x v="0"/>
    <x v="0"/>
    <x v="0"/>
    <x v="0"/>
    <x v="3"/>
    <x v="0"/>
    <x v="2"/>
  </r>
  <r>
    <x v="164"/>
    <x v="91"/>
    <x v="2"/>
    <x v="3"/>
    <x v="2"/>
    <x v="16"/>
    <x v="1"/>
    <x v="0"/>
    <x v="1"/>
    <x v="0"/>
    <x v="0"/>
    <x v="1"/>
    <x v="0"/>
    <x v="0"/>
    <x v="0"/>
    <x v="0"/>
    <x v="5"/>
  </r>
  <r>
    <x v="165"/>
    <x v="132"/>
    <x v="10"/>
    <x v="34"/>
    <x v="3"/>
    <x v="9"/>
    <x v="3"/>
    <x v="1"/>
    <x v="3"/>
    <x v="0"/>
    <x v="0"/>
    <x v="0"/>
    <x v="0"/>
    <x v="0"/>
    <x v="4"/>
    <x v="0"/>
    <x v="0"/>
  </r>
  <r>
    <x v="166"/>
    <x v="133"/>
    <x v="6"/>
    <x v="51"/>
    <x v="3"/>
    <x v="8"/>
    <x v="3"/>
    <x v="0"/>
    <x v="4"/>
    <x v="0"/>
    <x v="0"/>
    <x v="0"/>
    <x v="0"/>
    <x v="0"/>
    <x v="3"/>
    <x v="0"/>
    <x v="4"/>
  </r>
  <r>
    <x v="167"/>
    <x v="134"/>
    <x v="4"/>
    <x v="10"/>
    <x v="0"/>
    <x v="6"/>
    <x v="0"/>
    <x v="1"/>
    <x v="1"/>
    <x v="1"/>
    <x v="0"/>
    <x v="0"/>
    <x v="0"/>
    <x v="0"/>
    <x v="3"/>
    <x v="0"/>
    <x v="1"/>
  </r>
  <r>
    <x v="168"/>
    <x v="135"/>
    <x v="7"/>
    <x v="11"/>
    <x v="2"/>
    <x v="16"/>
    <x v="4"/>
    <x v="0"/>
    <x v="3"/>
    <x v="0"/>
    <x v="0"/>
    <x v="1"/>
    <x v="0"/>
    <x v="0"/>
    <x v="1"/>
    <x v="0"/>
    <x v="4"/>
  </r>
  <r>
    <x v="169"/>
    <x v="35"/>
    <x v="5"/>
    <x v="26"/>
    <x v="0"/>
    <x v="16"/>
    <x v="4"/>
    <x v="0"/>
    <x v="3"/>
    <x v="1"/>
    <x v="0"/>
    <x v="0"/>
    <x v="0"/>
    <x v="0"/>
    <x v="1"/>
    <x v="0"/>
    <x v="1"/>
  </r>
  <r>
    <x v="170"/>
    <x v="125"/>
    <x v="11"/>
    <x v="35"/>
    <x v="1"/>
    <x v="12"/>
    <x v="1"/>
    <x v="0"/>
    <x v="5"/>
    <x v="0"/>
    <x v="0"/>
    <x v="1"/>
    <x v="0"/>
    <x v="0"/>
    <x v="0"/>
    <x v="0"/>
    <x v="5"/>
  </r>
  <r>
    <x v="171"/>
    <x v="53"/>
    <x v="1"/>
    <x v="6"/>
    <x v="1"/>
    <x v="7"/>
    <x v="0"/>
    <x v="1"/>
    <x v="0"/>
    <x v="1"/>
    <x v="0"/>
    <x v="0"/>
    <x v="0"/>
    <x v="0"/>
    <x v="1"/>
    <x v="0"/>
    <x v="2"/>
  </r>
  <r>
    <x v="172"/>
    <x v="136"/>
    <x v="8"/>
    <x v="20"/>
    <x v="3"/>
    <x v="15"/>
    <x v="3"/>
    <x v="0"/>
    <x v="0"/>
    <x v="1"/>
    <x v="0"/>
    <x v="1"/>
    <x v="0"/>
    <x v="0"/>
    <x v="1"/>
    <x v="0"/>
    <x v="4"/>
  </r>
  <r>
    <x v="173"/>
    <x v="137"/>
    <x v="3"/>
    <x v="14"/>
    <x v="1"/>
    <x v="5"/>
    <x v="4"/>
    <x v="0"/>
    <x v="4"/>
    <x v="0"/>
    <x v="0"/>
    <x v="0"/>
    <x v="0"/>
    <x v="0"/>
    <x v="3"/>
    <x v="0"/>
    <x v="1"/>
  </r>
  <r>
    <x v="174"/>
    <x v="24"/>
    <x v="6"/>
    <x v="19"/>
    <x v="3"/>
    <x v="13"/>
    <x v="2"/>
    <x v="1"/>
    <x v="7"/>
    <x v="0"/>
    <x v="0"/>
    <x v="0"/>
    <x v="0"/>
    <x v="0"/>
    <x v="2"/>
    <x v="0"/>
    <x v="0"/>
  </r>
  <r>
    <x v="175"/>
    <x v="138"/>
    <x v="4"/>
    <x v="23"/>
    <x v="0"/>
    <x v="18"/>
    <x v="3"/>
    <x v="1"/>
    <x v="7"/>
    <x v="1"/>
    <x v="0"/>
    <x v="0"/>
    <x v="0"/>
    <x v="0"/>
    <x v="4"/>
    <x v="0"/>
    <x v="1"/>
  </r>
  <r>
    <x v="176"/>
    <x v="139"/>
    <x v="6"/>
    <x v="52"/>
    <x v="3"/>
    <x v="10"/>
    <x v="3"/>
    <x v="0"/>
    <x v="5"/>
    <x v="1"/>
    <x v="0"/>
    <x v="0"/>
    <x v="0"/>
    <x v="0"/>
    <x v="1"/>
    <x v="0"/>
    <x v="3"/>
  </r>
  <r>
    <x v="177"/>
    <x v="114"/>
    <x v="2"/>
    <x v="49"/>
    <x v="2"/>
    <x v="15"/>
    <x v="2"/>
    <x v="1"/>
    <x v="2"/>
    <x v="0"/>
    <x v="0"/>
    <x v="1"/>
    <x v="0"/>
    <x v="0"/>
    <x v="1"/>
    <x v="0"/>
    <x v="2"/>
  </r>
  <r>
    <x v="178"/>
    <x v="136"/>
    <x v="8"/>
    <x v="20"/>
    <x v="3"/>
    <x v="0"/>
    <x v="1"/>
    <x v="0"/>
    <x v="6"/>
    <x v="1"/>
    <x v="0"/>
    <x v="1"/>
    <x v="0"/>
    <x v="0"/>
    <x v="4"/>
    <x v="0"/>
    <x v="2"/>
  </r>
  <r>
    <x v="179"/>
    <x v="140"/>
    <x v="9"/>
    <x v="50"/>
    <x v="2"/>
    <x v="5"/>
    <x v="3"/>
    <x v="0"/>
    <x v="1"/>
    <x v="1"/>
    <x v="0"/>
    <x v="0"/>
    <x v="0"/>
    <x v="0"/>
    <x v="1"/>
    <x v="0"/>
    <x v="5"/>
  </r>
  <r>
    <x v="180"/>
    <x v="141"/>
    <x v="7"/>
    <x v="43"/>
    <x v="2"/>
    <x v="17"/>
    <x v="0"/>
    <x v="0"/>
    <x v="6"/>
    <x v="1"/>
    <x v="0"/>
    <x v="0"/>
    <x v="0"/>
    <x v="0"/>
    <x v="2"/>
    <x v="0"/>
    <x v="4"/>
  </r>
  <r>
    <x v="181"/>
    <x v="9"/>
    <x v="6"/>
    <x v="8"/>
    <x v="3"/>
    <x v="19"/>
    <x v="0"/>
    <x v="0"/>
    <x v="7"/>
    <x v="0"/>
    <x v="0"/>
    <x v="0"/>
    <x v="1"/>
    <x v="0"/>
    <x v="3"/>
    <x v="0"/>
    <x v="3"/>
  </r>
  <r>
    <x v="182"/>
    <x v="142"/>
    <x v="8"/>
    <x v="38"/>
    <x v="3"/>
    <x v="9"/>
    <x v="0"/>
    <x v="0"/>
    <x v="1"/>
    <x v="1"/>
    <x v="0"/>
    <x v="1"/>
    <x v="0"/>
    <x v="0"/>
    <x v="0"/>
    <x v="0"/>
    <x v="3"/>
  </r>
  <r>
    <x v="183"/>
    <x v="32"/>
    <x v="4"/>
    <x v="23"/>
    <x v="0"/>
    <x v="10"/>
    <x v="0"/>
    <x v="0"/>
    <x v="3"/>
    <x v="1"/>
    <x v="0"/>
    <x v="0"/>
    <x v="0"/>
    <x v="0"/>
    <x v="3"/>
    <x v="0"/>
    <x v="3"/>
  </r>
  <r>
    <x v="184"/>
    <x v="31"/>
    <x v="9"/>
    <x v="21"/>
    <x v="2"/>
    <x v="17"/>
    <x v="3"/>
    <x v="0"/>
    <x v="7"/>
    <x v="1"/>
    <x v="0"/>
    <x v="1"/>
    <x v="0"/>
    <x v="0"/>
    <x v="0"/>
    <x v="0"/>
    <x v="0"/>
  </r>
  <r>
    <x v="185"/>
    <x v="143"/>
    <x v="1"/>
    <x v="1"/>
    <x v="1"/>
    <x v="13"/>
    <x v="1"/>
    <x v="0"/>
    <x v="4"/>
    <x v="0"/>
    <x v="0"/>
    <x v="1"/>
    <x v="0"/>
    <x v="0"/>
    <x v="3"/>
    <x v="0"/>
    <x v="0"/>
  </r>
  <r>
    <x v="186"/>
    <x v="144"/>
    <x v="3"/>
    <x v="4"/>
    <x v="1"/>
    <x v="6"/>
    <x v="3"/>
    <x v="0"/>
    <x v="7"/>
    <x v="0"/>
    <x v="0"/>
    <x v="0"/>
    <x v="0"/>
    <x v="0"/>
    <x v="4"/>
    <x v="0"/>
    <x v="1"/>
  </r>
  <r>
    <x v="187"/>
    <x v="145"/>
    <x v="0"/>
    <x v="16"/>
    <x v="0"/>
    <x v="5"/>
    <x v="1"/>
    <x v="0"/>
    <x v="0"/>
    <x v="0"/>
    <x v="0"/>
    <x v="1"/>
    <x v="0"/>
    <x v="0"/>
    <x v="0"/>
    <x v="0"/>
    <x v="3"/>
  </r>
  <r>
    <x v="188"/>
    <x v="146"/>
    <x v="8"/>
    <x v="39"/>
    <x v="3"/>
    <x v="19"/>
    <x v="2"/>
    <x v="0"/>
    <x v="3"/>
    <x v="0"/>
    <x v="0"/>
    <x v="0"/>
    <x v="0"/>
    <x v="0"/>
    <x v="4"/>
    <x v="0"/>
    <x v="2"/>
  </r>
  <r>
    <x v="189"/>
    <x v="129"/>
    <x v="7"/>
    <x v="37"/>
    <x v="2"/>
    <x v="18"/>
    <x v="4"/>
    <x v="1"/>
    <x v="6"/>
    <x v="1"/>
    <x v="0"/>
    <x v="0"/>
    <x v="0"/>
    <x v="0"/>
    <x v="3"/>
    <x v="0"/>
    <x v="4"/>
  </r>
  <r>
    <x v="190"/>
    <x v="147"/>
    <x v="0"/>
    <x v="16"/>
    <x v="0"/>
    <x v="12"/>
    <x v="0"/>
    <x v="0"/>
    <x v="0"/>
    <x v="1"/>
    <x v="0"/>
    <x v="0"/>
    <x v="0"/>
    <x v="0"/>
    <x v="0"/>
    <x v="0"/>
    <x v="3"/>
  </r>
  <r>
    <x v="191"/>
    <x v="60"/>
    <x v="8"/>
    <x v="38"/>
    <x v="3"/>
    <x v="13"/>
    <x v="1"/>
    <x v="0"/>
    <x v="0"/>
    <x v="0"/>
    <x v="0"/>
    <x v="1"/>
    <x v="0"/>
    <x v="0"/>
    <x v="1"/>
    <x v="0"/>
    <x v="0"/>
  </r>
  <r>
    <x v="192"/>
    <x v="148"/>
    <x v="10"/>
    <x v="34"/>
    <x v="3"/>
    <x v="5"/>
    <x v="1"/>
    <x v="1"/>
    <x v="5"/>
    <x v="0"/>
    <x v="0"/>
    <x v="1"/>
    <x v="0"/>
    <x v="0"/>
    <x v="2"/>
    <x v="1"/>
    <x v="3"/>
  </r>
  <r>
    <x v="193"/>
    <x v="149"/>
    <x v="4"/>
    <x v="10"/>
    <x v="0"/>
    <x v="15"/>
    <x v="4"/>
    <x v="0"/>
    <x v="1"/>
    <x v="0"/>
    <x v="0"/>
    <x v="0"/>
    <x v="0"/>
    <x v="0"/>
    <x v="4"/>
    <x v="0"/>
    <x v="1"/>
  </r>
  <r>
    <x v="194"/>
    <x v="150"/>
    <x v="11"/>
    <x v="42"/>
    <x v="1"/>
    <x v="2"/>
    <x v="0"/>
    <x v="0"/>
    <x v="5"/>
    <x v="1"/>
    <x v="0"/>
    <x v="0"/>
    <x v="0"/>
    <x v="0"/>
    <x v="4"/>
    <x v="0"/>
    <x v="2"/>
  </r>
  <r>
    <x v="195"/>
    <x v="100"/>
    <x v="4"/>
    <x v="46"/>
    <x v="0"/>
    <x v="4"/>
    <x v="3"/>
    <x v="0"/>
    <x v="3"/>
    <x v="1"/>
    <x v="0"/>
    <x v="1"/>
    <x v="0"/>
    <x v="0"/>
    <x v="4"/>
    <x v="0"/>
    <x v="2"/>
  </r>
  <r>
    <x v="196"/>
    <x v="151"/>
    <x v="11"/>
    <x v="40"/>
    <x v="1"/>
    <x v="14"/>
    <x v="4"/>
    <x v="0"/>
    <x v="0"/>
    <x v="1"/>
    <x v="0"/>
    <x v="0"/>
    <x v="0"/>
    <x v="0"/>
    <x v="0"/>
    <x v="0"/>
    <x v="5"/>
  </r>
  <r>
    <x v="197"/>
    <x v="152"/>
    <x v="9"/>
    <x v="32"/>
    <x v="2"/>
    <x v="17"/>
    <x v="3"/>
    <x v="1"/>
    <x v="3"/>
    <x v="0"/>
    <x v="0"/>
    <x v="1"/>
    <x v="0"/>
    <x v="0"/>
    <x v="1"/>
    <x v="0"/>
    <x v="4"/>
  </r>
  <r>
    <x v="198"/>
    <x v="28"/>
    <x v="6"/>
    <x v="22"/>
    <x v="3"/>
    <x v="1"/>
    <x v="4"/>
    <x v="0"/>
    <x v="3"/>
    <x v="0"/>
    <x v="0"/>
    <x v="0"/>
    <x v="0"/>
    <x v="0"/>
    <x v="0"/>
    <x v="0"/>
    <x v="4"/>
  </r>
  <r>
    <x v="199"/>
    <x v="153"/>
    <x v="4"/>
    <x v="10"/>
    <x v="0"/>
    <x v="0"/>
    <x v="2"/>
    <x v="0"/>
    <x v="2"/>
    <x v="0"/>
    <x v="0"/>
    <x v="0"/>
    <x v="0"/>
    <x v="0"/>
    <x v="2"/>
    <x v="0"/>
    <x v="0"/>
  </r>
  <r>
    <x v="200"/>
    <x v="78"/>
    <x v="8"/>
    <x v="39"/>
    <x v="3"/>
    <x v="6"/>
    <x v="2"/>
    <x v="0"/>
    <x v="4"/>
    <x v="0"/>
    <x v="0"/>
    <x v="1"/>
    <x v="0"/>
    <x v="0"/>
    <x v="0"/>
    <x v="0"/>
    <x v="1"/>
  </r>
  <r>
    <x v="201"/>
    <x v="154"/>
    <x v="10"/>
    <x v="51"/>
    <x v="3"/>
    <x v="11"/>
    <x v="3"/>
    <x v="0"/>
    <x v="4"/>
    <x v="1"/>
    <x v="0"/>
    <x v="1"/>
    <x v="1"/>
    <x v="0"/>
    <x v="0"/>
    <x v="0"/>
    <x v="0"/>
  </r>
  <r>
    <x v="202"/>
    <x v="9"/>
    <x v="6"/>
    <x v="8"/>
    <x v="3"/>
    <x v="19"/>
    <x v="0"/>
    <x v="0"/>
    <x v="5"/>
    <x v="0"/>
    <x v="0"/>
    <x v="1"/>
    <x v="0"/>
    <x v="0"/>
    <x v="0"/>
    <x v="0"/>
    <x v="4"/>
  </r>
  <r>
    <x v="203"/>
    <x v="48"/>
    <x v="8"/>
    <x v="20"/>
    <x v="3"/>
    <x v="0"/>
    <x v="1"/>
    <x v="1"/>
    <x v="7"/>
    <x v="0"/>
    <x v="0"/>
    <x v="1"/>
    <x v="0"/>
    <x v="0"/>
    <x v="1"/>
    <x v="0"/>
    <x v="4"/>
  </r>
  <r>
    <x v="204"/>
    <x v="155"/>
    <x v="6"/>
    <x v="22"/>
    <x v="3"/>
    <x v="14"/>
    <x v="4"/>
    <x v="0"/>
    <x v="7"/>
    <x v="0"/>
    <x v="0"/>
    <x v="1"/>
    <x v="0"/>
    <x v="0"/>
    <x v="0"/>
    <x v="0"/>
    <x v="3"/>
  </r>
  <r>
    <x v="205"/>
    <x v="156"/>
    <x v="9"/>
    <x v="21"/>
    <x v="2"/>
    <x v="18"/>
    <x v="2"/>
    <x v="0"/>
    <x v="5"/>
    <x v="1"/>
    <x v="0"/>
    <x v="1"/>
    <x v="0"/>
    <x v="0"/>
    <x v="0"/>
    <x v="0"/>
    <x v="1"/>
  </r>
  <r>
    <x v="206"/>
    <x v="157"/>
    <x v="2"/>
    <x v="49"/>
    <x v="2"/>
    <x v="15"/>
    <x v="3"/>
    <x v="0"/>
    <x v="3"/>
    <x v="1"/>
    <x v="0"/>
    <x v="0"/>
    <x v="0"/>
    <x v="0"/>
    <x v="1"/>
    <x v="0"/>
    <x v="5"/>
  </r>
  <r>
    <x v="207"/>
    <x v="158"/>
    <x v="10"/>
    <x v="34"/>
    <x v="3"/>
    <x v="16"/>
    <x v="4"/>
    <x v="0"/>
    <x v="5"/>
    <x v="0"/>
    <x v="0"/>
    <x v="0"/>
    <x v="0"/>
    <x v="0"/>
    <x v="3"/>
    <x v="0"/>
    <x v="1"/>
  </r>
  <r>
    <x v="208"/>
    <x v="159"/>
    <x v="5"/>
    <x v="26"/>
    <x v="0"/>
    <x v="11"/>
    <x v="4"/>
    <x v="1"/>
    <x v="1"/>
    <x v="1"/>
    <x v="0"/>
    <x v="0"/>
    <x v="0"/>
    <x v="0"/>
    <x v="0"/>
    <x v="0"/>
    <x v="1"/>
  </r>
  <r>
    <x v="209"/>
    <x v="117"/>
    <x v="11"/>
    <x v="31"/>
    <x v="1"/>
    <x v="13"/>
    <x v="0"/>
    <x v="1"/>
    <x v="3"/>
    <x v="0"/>
    <x v="0"/>
    <x v="1"/>
    <x v="0"/>
    <x v="1"/>
    <x v="0"/>
    <x v="0"/>
    <x v="1"/>
  </r>
  <r>
    <x v="210"/>
    <x v="86"/>
    <x v="11"/>
    <x v="42"/>
    <x v="1"/>
    <x v="15"/>
    <x v="3"/>
    <x v="0"/>
    <x v="5"/>
    <x v="1"/>
    <x v="0"/>
    <x v="1"/>
    <x v="0"/>
    <x v="0"/>
    <x v="3"/>
    <x v="0"/>
    <x v="5"/>
  </r>
  <r>
    <x v="211"/>
    <x v="94"/>
    <x v="3"/>
    <x v="14"/>
    <x v="1"/>
    <x v="10"/>
    <x v="2"/>
    <x v="1"/>
    <x v="7"/>
    <x v="0"/>
    <x v="0"/>
    <x v="1"/>
    <x v="1"/>
    <x v="0"/>
    <x v="3"/>
    <x v="0"/>
    <x v="5"/>
  </r>
  <r>
    <x v="212"/>
    <x v="160"/>
    <x v="1"/>
    <x v="12"/>
    <x v="1"/>
    <x v="3"/>
    <x v="3"/>
    <x v="0"/>
    <x v="1"/>
    <x v="1"/>
    <x v="0"/>
    <x v="1"/>
    <x v="0"/>
    <x v="0"/>
    <x v="3"/>
    <x v="0"/>
    <x v="3"/>
  </r>
  <r>
    <x v="213"/>
    <x v="161"/>
    <x v="0"/>
    <x v="0"/>
    <x v="0"/>
    <x v="5"/>
    <x v="0"/>
    <x v="1"/>
    <x v="1"/>
    <x v="1"/>
    <x v="0"/>
    <x v="0"/>
    <x v="0"/>
    <x v="0"/>
    <x v="1"/>
    <x v="1"/>
    <x v="4"/>
  </r>
  <r>
    <x v="214"/>
    <x v="106"/>
    <x v="5"/>
    <x v="48"/>
    <x v="0"/>
    <x v="2"/>
    <x v="3"/>
    <x v="1"/>
    <x v="5"/>
    <x v="1"/>
    <x v="0"/>
    <x v="0"/>
    <x v="0"/>
    <x v="0"/>
    <x v="1"/>
    <x v="0"/>
    <x v="1"/>
  </r>
  <r>
    <x v="215"/>
    <x v="101"/>
    <x v="8"/>
    <x v="38"/>
    <x v="3"/>
    <x v="15"/>
    <x v="3"/>
    <x v="1"/>
    <x v="5"/>
    <x v="0"/>
    <x v="0"/>
    <x v="1"/>
    <x v="0"/>
    <x v="0"/>
    <x v="0"/>
    <x v="0"/>
    <x v="3"/>
  </r>
  <r>
    <x v="216"/>
    <x v="72"/>
    <x v="4"/>
    <x v="5"/>
    <x v="0"/>
    <x v="18"/>
    <x v="1"/>
    <x v="0"/>
    <x v="6"/>
    <x v="0"/>
    <x v="0"/>
    <x v="1"/>
    <x v="0"/>
    <x v="0"/>
    <x v="3"/>
    <x v="0"/>
    <x v="5"/>
  </r>
  <r>
    <x v="217"/>
    <x v="162"/>
    <x v="5"/>
    <x v="46"/>
    <x v="0"/>
    <x v="2"/>
    <x v="4"/>
    <x v="0"/>
    <x v="5"/>
    <x v="1"/>
    <x v="0"/>
    <x v="0"/>
    <x v="0"/>
    <x v="0"/>
    <x v="4"/>
    <x v="0"/>
    <x v="0"/>
  </r>
  <r>
    <x v="218"/>
    <x v="163"/>
    <x v="11"/>
    <x v="35"/>
    <x v="1"/>
    <x v="9"/>
    <x v="0"/>
    <x v="0"/>
    <x v="3"/>
    <x v="0"/>
    <x v="0"/>
    <x v="1"/>
    <x v="0"/>
    <x v="0"/>
    <x v="4"/>
    <x v="1"/>
    <x v="4"/>
  </r>
  <r>
    <x v="219"/>
    <x v="164"/>
    <x v="5"/>
    <x v="7"/>
    <x v="0"/>
    <x v="19"/>
    <x v="0"/>
    <x v="0"/>
    <x v="2"/>
    <x v="0"/>
    <x v="0"/>
    <x v="0"/>
    <x v="0"/>
    <x v="0"/>
    <x v="0"/>
    <x v="0"/>
    <x v="4"/>
  </r>
  <r>
    <x v="220"/>
    <x v="165"/>
    <x v="7"/>
    <x v="43"/>
    <x v="2"/>
    <x v="12"/>
    <x v="1"/>
    <x v="0"/>
    <x v="4"/>
    <x v="1"/>
    <x v="0"/>
    <x v="0"/>
    <x v="0"/>
    <x v="0"/>
    <x v="2"/>
    <x v="0"/>
    <x v="1"/>
  </r>
  <r>
    <x v="221"/>
    <x v="9"/>
    <x v="6"/>
    <x v="8"/>
    <x v="3"/>
    <x v="16"/>
    <x v="2"/>
    <x v="1"/>
    <x v="1"/>
    <x v="1"/>
    <x v="0"/>
    <x v="1"/>
    <x v="0"/>
    <x v="0"/>
    <x v="4"/>
    <x v="1"/>
    <x v="1"/>
  </r>
  <r>
    <x v="222"/>
    <x v="166"/>
    <x v="11"/>
    <x v="42"/>
    <x v="1"/>
    <x v="6"/>
    <x v="0"/>
    <x v="1"/>
    <x v="7"/>
    <x v="0"/>
    <x v="0"/>
    <x v="1"/>
    <x v="0"/>
    <x v="0"/>
    <x v="0"/>
    <x v="0"/>
    <x v="3"/>
  </r>
  <r>
    <x v="223"/>
    <x v="167"/>
    <x v="0"/>
    <x v="16"/>
    <x v="0"/>
    <x v="14"/>
    <x v="3"/>
    <x v="0"/>
    <x v="0"/>
    <x v="1"/>
    <x v="0"/>
    <x v="0"/>
    <x v="0"/>
    <x v="0"/>
    <x v="0"/>
    <x v="1"/>
    <x v="0"/>
  </r>
  <r>
    <x v="224"/>
    <x v="22"/>
    <x v="3"/>
    <x v="17"/>
    <x v="1"/>
    <x v="6"/>
    <x v="4"/>
    <x v="1"/>
    <x v="0"/>
    <x v="0"/>
    <x v="0"/>
    <x v="1"/>
    <x v="0"/>
    <x v="0"/>
    <x v="3"/>
    <x v="0"/>
    <x v="4"/>
  </r>
  <r>
    <x v="225"/>
    <x v="168"/>
    <x v="5"/>
    <x v="48"/>
    <x v="0"/>
    <x v="4"/>
    <x v="2"/>
    <x v="0"/>
    <x v="4"/>
    <x v="1"/>
    <x v="0"/>
    <x v="1"/>
    <x v="0"/>
    <x v="0"/>
    <x v="2"/>
    <x v="0"/>
    <x v="2"/>
  </r>
  <r>
    <x v="226"/>
    <x v="169"/>
    <x v="5"/>
    <x v="46"/>
    <x v="0"/>
    <x v="15"/>
    <x v="3"/>
    <x v="0"/>
    <x v="3"/>
    <x v="1"/>
    <x v="0"/>
    <x v="0"/>
    <x v="0"/>
    <x v="0"/>
    <x v="2"/>
    <x v="0"/>
    <x v="4"/>
  </r>
  <r>
    <x v="227"/>
    <x v="2"/>
    <x v="2"/>
    <x v="2"/>
    <x v="2"/>
    <x v="5"/>
    <x v="2"/>
    <x v="0"/>
    <x v="2"/>
    <x v="1"/>
    <x v="0"/>
    <x v="1"/>
    <x v="0"/>
    <x v="0"/>
    <x v="3"/>
    <x v="0"/>
    <x v="5"/>
  </r>
  <r>
    <x v="228"/>
    <x v="91"/>
    <x v="2"/>
    <x v="3"/>
    <x v="2"/>
    <x v="3"/>
    <x v="2"/>
    <x v="1"/>
    <x v="1"/>
    <x v="0"/>
    <x v="0"/>
    <x v="0"/>
    <x v="0"/>
    <x v="0"/>
    <x v="0"/>
    <x v="0"/>
    <x v="3"/>
  </r>
  <r>
    <x v="229"/>
    <x v="170"/>
    <x v="3"/>
    <x v="45"/>
    <x v="1"/>
    <x v="4"/>
    <x v="4"/>
    <x v="0"/>
    <x v="3"/>
    <x v="1"/>
    <x v="0"/>
    <x v="0"/>
    <x v="0"/>
    <x v="0"/>
    <x v="4"/>
    <x v="1"/>
    <x v="0"/>
  </r>
  <r>
    <x v="230"/>
    <x v="171"/>
    <x v="3"/>
    <x v="4"/>
    <x v="1"/>
    <x v="15"/>
    <x v="2"/>
    <x v="0"/>
    <x v="6"/>
    <x v="1"/>
    <x v="0"/>
    <x v="1"/>
    <x v="0"/>
    <x v="1"/>
    <x v="1"/>
    <x v="0"/>
    <x v="4"/>
  </r>
  <r>
    <x v="231"/>
    <x v="172"/>
    <x v="10"/>
    <x v="25"/>
    <x v="3"/>
    <x v="3"/>
    <x v="1"/>
    <x v="0"/>
    <x v="3"/>
    <x v="0"/>
    <x v="0"/>
    <x v="0"/>
    <x v="0"/>
    <x v="0"/>
    <x v="1"/>
    <x v="0"/>
    <x v="3"/>
  </r>
  <r>
    <x v="232"/>
    <x v="173"/>
    <x v="0"/>
    <x v="9"/>
    <x v="0"/>
    <x v="3"/>
    <x v="2"/>
    <x v="0"/>
    <x v="1"/>
    <x v="1"/>
    <x v="0"/>
    <x v="0"/>
    <x v="0"/>
    <x v="0"/>
    <x v="3"/>
    <x v="0"/>
    <x v="3"/>
  </r>
  <r>
    <x v="233"/>
    <x v="174"/>
    <x v="9"/>
    <x v="15"/>
    <x v="2"/>
    <x v="12"/>
    <x v="3"/>
    <x v="0"/>
    <x v="1"/>
    <x v="1"/>
    <x v="0"/>
    <x v="1"/>
    <x v="0"/>
    <x v="0"/>
    <x v="2"/>
    <x v="0"/>
    <x v="2"/>
  </r>
  <r>
    <x v="234"/>
    <x v="175"/>
    <x v="6"/>
    <x v="22"/>
    <x v="3"/>
    <x v="16"/>
    <x v="3"/>
    <x v="0"/>
    <x v="2"/>
    <x v="1"/>
    <x v="0"/>
    <x v="0"/>
    <x v="0"/>
    <x v="0"/>
    <x v="0"/>
    <x v="0"/>
    <x v="0"/>
  </r>
  <r>
    <x v="235"/>
    <x v="151"/>
    <x v="11"/>
    <x v="40"/>
    <x v="1"/>
    <x v="16"/>
    <x v="3"/>
    <x v="0"/>
    <x v="5"/>
    <x v="0"/>
    <x v="0"/>
    <x v="0"/>
    <x v="0"/>
    <x v="0"/>
    <x v="1"/>
    <x v="0"/>
    <x v="3"/>
  </r>
  <r>
    <x v="236"/>
    <x v="176"/>
    <x v="0"/>
    <x v="30"/>
    <x v="0"/>
    <x v="15"/>
    <x v="2"/>
    <x v="0"/>
    <x v="3"/>
    <x v="1"/>
    <x v="0"/>
    <x v="0"/>
    <x v="0"/>
    <x v="0"/>
    <x v="4"/>
    <x v="0"/>
    <x v="4"/>
  </r>
  <r>
    <x v="237"/>
    <x v="177"/>
    <x v="0"/>
    <x v="16"/>
    <x v="0"/>
    <x v="11"/>
    <x v="1"/>
    <x v="0"/>
    <x v="1"/>
    <x v="1"/>
    <x v="0"/>
    <x v="1"/>
    <x v="0"/>
    <x v="0"/>
    <x v="3"/>
    <x v="0"/>
    <x v="5"/>
  </r>
  <r>
    <x v="238"/>
    <x v="138"/>
    <x v="4"/>
    <x v="23"/>
    <x v="0"/>
    <x v="18"/>
    <x v="0"/>
    <x v="0"/>
    <x v="0"/>
    <x v="0"/>
    <x v="0"/>
    <x v="0"/>
    <x v="0"/>
    <x v="0"/>
    <x v="1"/>
    <x v="0"/>
    <x v="3"/>
  </r>
  <r>
    <x v="239"/>
    <x v="178"/>
    <x v="5"/>
    <x v="41"/>
    <x v="0"/>
    <x v="9"/>
    <x v="1"/>
    <x v="0"/>
    <x v="1"/>
    <x v="1"/>
    <x v="0"/>
    <x v="0"/>
    <x v="0"/>
    <x v="0"/>
    <x v="0"/>
    <x v="1"/>
    <x v="1"/>
  </r>
  <r>
    <x v="240"/>
    <x v="179"/>
    <x v="7"/>
    <x v="11"/>
    <x v="2"/>
    <x v="0"/>
    <x v="0"/>
    <x v="1"/>
    <x v="4"/>
    <x v="0"/>
    <x v="0"/>
    <x v="0"/>
    <x v="1"/>
    <x v="0"/>
    <x v="3"/>
    <x v="0"/>
    <x v="1"/>
  </r>
  <r>
    <x v="241"/>
    <x v="110"/>
    <x v="11"/>
    <x v="42"/>
    <x v="1"/>
    <x v="8"/>
    <x v="4"/>
    <x v="0"/>
    <x v="1"/>
    <x v="1"/>
    <x v="0"/>
    <x v="1"/>
    <x v="0"/>
    <x v="0"/>
    <x v="2"/>
    <x v="0"/>
    <x v="0"/>
  </r>
  <r>
    <x v="242"/>
    <x v="180"/>
    <x v="6"/>
    <x v="19"/>
    <x v="3"/>
    <x v="16"/>
    <x v="2"/>
    <x v="1"/>
    <x v="7"/>
    <x v="0"/>
    <x v="0"/>
    <x v="1"/>
    <x v="0"/>
    <x v="0"/>
    <x v="2"/>
    <x v="0"/>
    <x v="4"/>
  </r>
  <r>
    <x v="243"/>
    <x v="181"/>
    <x v="6"/>
    <x v="22"/>
    <x v="3"/>
    <x v="8"/>
    <x v="0"/>
    <x v="0"/>
    <x v="0"/>
    <x v="0"/>
    <x v="0"/>
    <x v="0"/>
    <x v="0"/>
    <x v="0"/>
    <x v="2"/>
    <x v="0"/>
    <x v="2"/>
  </r>
  <r>
    <x v="244"/>
    <x v="33"/>
    <x v="4"/>
    <x v="24"/>
    <x v="0"/>
    <x v="15"/>
    <x v="0"/>
    <x v="0"/>
    <x v="2"/>
    <x v="1"/>
    <x v="0"/>
    <x v="1"/>
    <x v="0"/>
    <x v="0"/>
    <x v="0"/>
    <x v="0"/>
    <x v="4"/>
  </r>
  <r>
    <x v="245"/>
    <x v="110"/>
    <x v="11"/>
    <x v="42"/>
    <x v="1"/>
    <x v="6"/>
    <x v="1"/>
    <x v="0"/>
    <x v="3"/>
    <x v="1"/>
    <x v="0"/>
    <x v="0"/>
    <x v="0"/>
    <x v="0"/>
    <x v="1"/>
    <x v="0"/>
    <x v="0"/>
  </r>
  <r>
    <x v="246"/>
    <x v="26"/>
    <x v="8"/>
    <x v="20"/>
    <x v="3"/>
    <x v="17"/>
    <x v="2"/>
    <x v="0"/>
    <x v="0"/>
    <x v="0"/>
    <x v="0"/>
    <x v="0"/>
    <x v="0"/>
    <x v="0"/>
    <x v="4"/>
    <x v="0"/>
    <x v="0"/>
  </r>
  <r>
    <x v="247"/>
    <x v="60"/>
    <x v="8"/>
    <x v="38"/>
    <x v="3"/>
    <x v="16"/>
    <x v="0"/>
    <x v="0"/>
    <x v="6"/>
    <x v="0"/>
    <x v="0"/>
    <x v="1"/>
    <x v="0"/>
    <x v="0"/>
    <x v="0"/>
    <x v="0"/>
    <x v="1"/>
  </r>
  <r>
    <x v="248"/>
    <x v="49"/>
    <x v="9"/>
    <x v="32"/>
    <x v="2"/>
    <x v="15"/>
    <x v="2"/>
    <x v="0"/>
    <x v="6"/>
    <x v="0"/>
    <x v="0"/>
    <x v="0"/>
    <x v="0"/>
    <x v="0"/>
    <x v="3"/>
    <x v="1"/>
    <x v="3"/>
  </r>
  <r>
    <x v="249"/>
    <x v="44"/>
    <x v="4"/>
    <x v="23"/>
    <x v="0"/>
    <x v="4"/>
    <x v="2"/>
    <x v="0"/>
    <x v="6"/>
    <x v="0"/>
    <x v="0"/>
    <x v="1"/>
    <x v="0"/>
    <x v="0"/>
    <x v="0"/>
    <x v="0"/>
    <x v="0"/>
  </r>
  <r>
    <x v="250"/>
    <x v="161"/>
    <x v="0"/>
    <x v="0"/>
    <x v="0"/>
    <x v="10"/>
    <x v="4"/>
    <x v="1"/>
    <x v="5"/>
    <x v="1"/>
    <x v="0"/>
    <x v="0"/>
    <x v="0"/>
    <x v="0"/>
    <x v="2"/>
    <x v="0"/>
    <x v="5"/>
  </r>
  <r>
    <x v="251"/>
    <x v="153"/>
    <x v="4"/>
    <x v="10"/>
    <x v="0"/>
    <x v="2"/>
    <x v="2"/>
    <x v="0"/>
    <x v="4"/>
    <x v="1"/>
    <x v="0"/>
    <x v="1"/>
    <x v="0"/>
    <x v="0"/>
    <x v="3"/>
    <x v="0"/>
    <x v="5"/>
  </r>
  <r>
    <x v="252"/>
    <x v="59"/>
    <x v="1"/>
    <x v="6"/>
    <x v="1"/>
    <x v="12"/>
    <x v="3"/>
    <x v="1"/>
    <x v="3"/>
    <x v="0"/>
    <x v="0"/>
    <x v="1"/>
    <x v="0"/>
    <x v="0"/>
    <x v="3"/>
    <x v="0"/>
    <x v="4"/>
  </r>
  <r>
    <x v="253"/>
    <x v="182"/>
    <x v="11"/>
    <x v="35"/>
    <x v="1"/>
    <x v="17"/>
    <x v="2"/>
    <x v="0"/>
    <x v="3"/>
    <x v="1"/>
    <x v="0"/>
    <x v="0"/>
    <x v="0"/>
    <x v="0"/>
    <x v="1"/>
    <x v="0"/>
    <x v="5"/>
  </r>
  <r>
    <x v="254"/>
    <x v="13"/>
    <x v="1"/>
    <x v="12"/>
    <x v="1"/>
    <x v="6"/>
    <x v="2"/>
    <x v="1"/>
    <x v="2"/>
    <x v="0"/>
    <x v="0"/>
    <x v="0"/>
    <x v="1"/>
    <x v="0"/>
    <x v="2"/>
    <x v="0"/>
    <x v="5"/>
  </r>
  <r>
    <x v="255"/>
    <x v="183"/>
    <x v="3"/>
    <x v="45"/>
    <x v="1"/>
    <x v="17"/>
    <x v="3"/>
    <x v="1"/>
    <x v="4"/>
    <x v="0"/>
    <x v="0"/>
    <x v="0"/>
    <x v="0"/>
    <x v="0"/>
    <x v="3"/>
    <x v="0"/>
    <x v="1"/>
  </r>
  <r>
    <x v="256"/>
    <x v="153"/>
    <x v="4"/>
    <x v="10"/>
    <x v="0"/>
    <x v="1"/>
    <x v="3"/>
    <x v="1"/>
    <x v="3"/>
    <x v="0"/>
    <x v="0"/>
    <x v="1"/>
    <x v="1"/>
    <x v="0"/>
    <x v="4"/>
    <x v="0"/>
    <x v="5"/>
  </r>
  <r>
    <x v="257"/>
    <x v="184"/>
    <x v="0"/>
    <x v="30"/>
    <x v="0"/>
    <x v="10"/>
    <x v="4"/>
    <x v="0"/>
    <x v="7"/>
    <x v="1"/>
    <x v="0"/>
    <x v="1"/>
    <x v="0"/>
    <x v="0"/>
    <x v="4"/>
    <x v="0"/>
    <x v="0"/>
  </r>
  <r>
    <x v="258"/>
    <x v="106"/>
    <x v="5"/>
    <x v="48"/>
    <x v="0"/>
    <x v="19"/>
    <x v="0"/>
    <x v="0"/>
    <x v="6"/>
    <x v="0"/>
    <x v="0"/>
    <x v="0"/>
    <x v="0"/>
    <x v="0"/>
    <x v="1"/>
    <x v="0"/>
    <x v="5"/>
  </r>
  <r>
    <x v="259"/>
    <x v="185"/>
    <x v="1"/>
    <x v="1"/>
    <x v="1"/>
    <x v="7"/>
    <x v="4"/>
    <x v="0"/>
    <x v="3"/>
    <x v="0"/>
    <x v="0"/>
    <x v="1"/>
    <x v="0"/>
    <x v="0"/>
    <x v="2"/>
    <x v="0"/>
    <x v="0"/>
  </r>
  <r>
    <x v="260"/>
    <x v="111"/>
    <x v="0"/>
    <x v="16"/>
    <x v="0"/>
    <x v="10"/>
    <x v="3"/>
    <x v="0"/>
    <x v="1"/>
    <x v="1"/>
    <x v="0"/>
    <x v="0"/>
    <x v="0"/>
    <x v="0"/>
    <x v="3"/>
    <x v="1"/>
    <x v="1"/>
  </r>
  <r>
    <x v="261"/>
    <x v="120"/>
    <x v="4"/>
    <x v="24"/>
    <x v="0"/>
    <x v="4"/>
    <x v="2"/>
    <x v="0"/>
    <x v="0"/>
    <x v="1"/>
    <x v="0"/>
    <x v="1"/>
    <x v="1"/>
    <x v="0"/>
    <x v="4"/>
    <x v="0"/>
    <x v="1"/>
  </r>
  <r>
    <x v="262"/>
    <x v="32"/>
    <x v="4"/>
    <x v="23"/>
    <x v="0"/>
    <x v="6"/>
    <x v="2"/>
    <x v="0"/>
    <x v="4"/>
    <x v="0"/>
    <x v="0"/>
    <x v="0"/>
    <x v="0"/>
    <x v="0"/>
    <x v="3"/>
    <x v="0"/>
    <x v="0"/>
  </r>
  <r>
    <x v="263"/>
    <x v="48"/>
    <x v="8"/>
    <x v="20"/>
    <x v="3"/>
    <x v="15"/>
    <x v="2"/>
    <x v="1"/>
    <x v="7"/>
    <x v="1"/>
    <x v="0"/>
    <x v="1"/>
    <x v="0"/>
    <x v="0"/>
    <x v="0"/>
    <x v="0"/>
    <x v="2"/>
  </r>
  <r>
    <x v="264"/>
    <x v="186"/>
    <x v="5"/>
    <x v="26"/>
    <x v="0"/>
    <x v="7"/>
    <x v="4"/>
    <x v="0"/>
    <x v="4"/>
    <x v="1"/>
    <x v="0"/>
    <x v="1"/>
    <x v="0"/>
    <x v="0"/>
    <x v="4"/>
    <x v="1"/>
    <x v="0"/>
  </r>
  <r>
    <x v="265"/>
    <x v="187"/>
    <x v="10"/>
    <x v="33"/>
    <x v="3"/>
    <x v="6"/>
    <x v="3"/>
    <x v="1"/>
    <x v="0"/>
    <x v="0"/>
    <x v="0"/>
    <x v="1"/>
    <x v="0"/>
    <x v="0"/>
    <x v="4"/>
    <x v="1"/>
    <x v="3"/>
  </r>
  <r>
    <x v="266"/>
    <x v="188"/>
    <x v="6"/>
    <x v="19"/>
    <x v="3"/>
    <x v="1"/>
    <x v="3"/>
    <x v="1"/>
    <x v="5"/>
    <x v="1"/>
    <x v="0"/>
    <x v="1"/>
    <x v="0"/>
    <x v="1"/>
    <x v="4"/>
    <x v="0"/>
    <x v="1"/>
  </r>
  <r>
    <x v="267"/>
    <x v="189"/>
    <x v="1"/>
    <x v="6"/>
    <x v="1"/>
    <x v="15"/>
    <x v="0"/>
    <x v="0"/>
    <x v="2"/>
    <x v="1"/>
    <x v="0"/>
    <x v="0"/>
    <x v="0"/>
    <x v="0"/>
    <x v="3"/>
    <x v="0"/>
    <x v="2"/>
  </r>
  <r>
    <x v="268"/>
    <x v="190"/>
    <x v="1"/>
    <x v="36"/>
    <x v="1"/>
    <x v="0"/>
    <x v="3"/>
    <x v="0"/>
    <x v="3"/>
    <x v="1"/>
    <x v="0"/>
    <x v="0"/>
    <x v="0"/>
    <x v="0"/>
    <x v="3"/>
    <x v="0"/>
    <x v="5"/>
  </r>
  <r>
    <x v="269"/>
    <x v="191"/>
    <x v="10"/>
    <x v="51"/>
    <x v="3"/>
    <x v="10"/>
    <x v="4"/>
    <x v="0"/>
    <x v="1"/>
    <x v="1"/>
    <x v="0"/>
    <x v="0"/>
    <x v="0"/>
    <x v="0"/>
    <x v="0"/>
    <x v="0"/>
    <x v="4"/>
  </r>
  <r>
    <x v="270"/>
    <x v="192"/>
    <x v="3"/>
    <x v="45"/>
    <x v="1"/>
    <x v="6"/>
    <x v="2"/>
    <x v="0"/>
    <x v="4"/>
    <x v="0"/>
    <x v="0"/>
    <x v="1"/>
    <x v="0"/>
    <x v="0"/>
    <x v="2"/>
    <x v="0"/>
    <x v="2"/>
  </r>
  <r>
    <x v="271"/>
    <x v="137"/>
    <x v="3"/>
    <x v="14"/>
    <x v="1"/>
    <x v="7"/>
    <x v="0"/>
    <x v="0"/>
    <x v="0"/>
    <x v="1"/>
    <x v="0"/>
    <x v="0"/>
    <x v="0"/>
    <x v="0"/>
    <x v="3"/>
    <x v="0"/>
    <x v="3"/>
  </r>
  <r>
    <x v="272"/>
    <x v="193"/>
    <x v="2"/>
    <x v="44"/>
    <x v="2"/>
    <x v="5"/>
    <x v="4"/>
    <x v="0"/>
    <x v="1"/>
    <x v="0"/>
    <x v="0"/>
    <x v="1"/>
    <x v="0"/>
    <x v="0"/>
    <x v="1"/>
    <x v="1"/>
    <x v="5"/>
  </r>
  <r>
    <x v="273"/>
    <x v="96"/>
    <x v="4"/>
    <x v="10"/>
    <x v="0"/>
    <x v="3"/>
    <x v="2"/>
    <x v="1"/>
    <x v="1"/>
    <x v="0"/>
    <x v="0"/>
    <x v="1"/>
    <x v="0"/>
    <x v="0"/>
    <x v="1"/>
    <x v="0"/>
    <x v="5"/>
  </r>
  <r>
    <x v="274"/>
    <x v="82"/>
    <x v="0"/>
    <x v="30"/>
    <x v="0"/>
    <x v="12"/>
    <x v="1"/>
    <x v="0"/>
    <x v="5"/>
    <x v="1"/>
    <x v="0"/>
    <x v="0"/>
    <x v="0"/>
    <x v="0"/>
    <x v="0"/>
    <x v="0"/>
    <x v="4"/>
  </r>
  <r>
    <x v="275"/>
    <x v="194"/>
    <x v="8"/>
    <x v="38"/>
    <x v="3"/>
    <x v="1"/>
    <x v="0"/>
    <x v="0"/>
    <x v="7"/>
    <x v="0"/>
    <x v="0"/>
    <x v="1"/>
    <x v="0"/>
    <x v="1"/>
    <x v="2"/>
    <x v="0"/>
    <x v="5"/>
  </r>
  <r>
    <x v="276"/>
    <x v="195"/>
    <x v="1"/>
    <x v="31"/>
    <x v="1"/>
    <x v="8"/>
    <x v="0"/>
    <x v="0"/>
    <x v="7"/>
    <x v="0"/>
    <x v="0"/>
    <x v="1"/>
    <x v="0"/>
    <x v="0"/>
    <x v="4"/>
    <x v="0"/>
    <x v="0"/>
  </r>
  <r>
    <x v="277"/>
    <x v="134"/>
    <x v="4"/>
    <x v="10"/>
    <x v="0"/>
    <x v="18"/>
    <x v="3"/>
    <x v="0"/>
    <x v="3"/>
    <x v="0"/>
    <x v="0"/>
    <x v="1"/>
    <x v="0"/>
    <x v="0"/>
    <x v="0"/>
    <x v="0"/>
    <x v="3"/>
  </r>
  <r>
    <x v="278"/>
    <x v="104"/>
    <x v="8"/>
    <x v="39"/>
    <x v="3"/>
    <x v="16"/>
    <x v="2"/>
    <x v="0"/>
    <x v="6"/>
    <x v="1"/>
    <x v="0"/>
    <x v="0"/>
    <x v="0"/>
    <x v="0"/>
    <x v="0"/>
    <x v="0"/>
    <x v="2"/>
  </r>
  <r>
    <x v="279"/>
    <x v="123"/>
    <x v="10"/>
    <x v="33"/>
    <x v="3"/>
    <x v="9"/>
    <x v="1"/>
    <x v="0"/>
    <x v="0"/>
    <x v="0"/>
    <x v="0"/>
    <x v="1"/>
    <x v="0"/>
    <x v="0"/>
    <x v="1"/>
    <x v="0"/>
    <x v="1"/>
  </r>
  <r>
    <x v="280"/>
    <x v="196"/>
    <x v="10"/>
    <x v="33"/>
    <x v="3"/>
    <x v="15"/>
    <x v="4"/>
    <x v="0"/>
    <x v="3"/>
    <x v="1"/>
    <x v="0"/>
    <x v="1"/>
    <x v="0"/>
    <x v="0"/>
    <x v="0"/>
    <x v="1"/>
    <x v="3"/>
  </r>
  <r>
    <x v="281"/>
    <x v="166"/>
    <x v="11"/>
    <x v="42"/>
    <x v="1"/>
    <x v="18"/>
    <x v="2"/>
    <x v="0"/>
    <x v="0"/>
    <x v="0"/>
    <x v="0"/>
    <x v="0"/>
    <x v="0"/>
    <x v="0"/>
    <x v="1"/>
    <x v="0"/>
    <x v="5"/>
  </r>
  <r>
    <x v="282"/>
    <x v="197"/>
    <x v="9"/>
    <x v="50"/>
    <x v="2"/>
    <x v="10"/>
    <x v="1"/>
    <x v="0"/>
    <x v="5"/>
    <x v="1"/>
    <x v="0"/>
    <x v="0"/>
    <x v="0"/>
    <x v="0"/>
    <x v="4"/>
    <x v="0"/>
    <x v="4"/>
  </r>
  <r>
    <x v="283"/>
    <x v="198"/>
    <x v="9"/>
    <x v="50"/>
    <x v="2"/>
    <x v="6"/>
    <x v="0"/>
    <x v="0"/>
    <x v="6"/>
    <x v="1"/>
    <x v="0"/>
    <x v="0"/>
    <x v="1"/>
    <x v="0"/>
    <x v="2"/>
    <x v="0"/>
    <x v="1"/>
  </r>
  <r>
    <x v="284"/>
    <x v="166"/>
    <x v="11"/>
    <x v="42"/>
    <x v="1"/>
    <x v="17"/>
    <x v="4"/>
    <x v="0"/>
    <x v="0"/>
    <x v="0"/>
    <x v="0"/>
    <x v="1"/>
    <x v="0"/>
    <x v="0"/>
    <x v="1"/>
    <x v="0"/>
    <x v="2"/>
  </r>
  <r>
    <x v="285"/>
    <x v="116"/>
    <x v="3"/>
    <x v="17"/>
    <x v="1"/>
    <x v="8"/>
    <x v="1"/>
    <x v="0"/>
    <x v="0"/>
    <x v="0"/>
    <x v="0"/>
    <x v="1"/>
    <x v="0"/>
    <x v="0"/>
    <x v="3"/>
    <x v="0"/>
    <x v="2"/>
  </r>
  <r>
    <x v="286"/>
    <x v="59"/>
    <x v="1"/>
    <x v="6"/>
    <x v="1"/>
    <x v="13"/>
    <x v="1"/>
    <x v="0"/>
    <x v="7"/>
    <x v="0"/>
    <x v="0"/>
    <x v="0"/>
    <x v="0"/>
    <x v="0"/>
    <x v="1"/>
    <x v="1"/>
    <x v="4"/>
  </r>
  <r>
    <x v="287"/>
    <x v="22"/>
    <x v="3"/>
    <x v="17"/>
    <x v="1"/>
    <x v="16"/>
    <x v="1"/>
    <x v="0"/>
    <x v="7"/>
    <x v="1"/>
    <x v="0"/>
    <x v="1"/>
    <x v="0"/>
    <x v="0"/>
    <x v="1"/>
    <x v="0"/>
    <x v="3"/>
  </r>
  <r>
    <x v="288"/>
    <x v="199"/>
    <x v="11"/>
    <x v="40"/>
    <x v="1"/>
    <x v="4"/>
    <x v="4"/>
    <x v="0"/>
    <x v="2"/>
    <x v="1"/>
    <x v="0"/>
    <x v="0"/>
    <x v="0"/>
    <x v="0"/>
    <x v="4"/>
    <x v="0"/>
    <x v="0"/>
  </r>
  <r>
    <x v="289"/>
    <x v="121"/>
    <x v="2"/>
    <x v="44"/>
    <x v="2"/>
    <x v="15"/>
    <x v="0"/>
    <x v="0"/>
    <x v="5"/>
    <x v="0"/>
    <x v="0"/>
    <x v="0"/>
    <x v="0"/>
    <x v="0"/>
    <x v="1"/>
    <x v="0"/>
    <x v="3"/>
  </r>
  <r>
    <x v="290"/>
    <x v="200"/>
    <x v="4"/>
    <x v="23"/>
    <x v="0"/>
    <x v="12"/>
    <x v="1"/>
    <x v="0"/>
    <x v="4"/>
    <x v="0"/>
    <x v="0"/>
    <x v="0"/>
    <x v="0"/>
    <x v="0"/>
    <x v="1"/>
    <x v="0"/>
    <x v="3"/>
  </r>
  <r>
    <x v="291"/>
    <x v="201"/>
    <x v="5"/>
    <x v="48"/>
    <x v="0"/>
    <x v="19"/>
    <x v="0"/>
    <x v="0"/>
    <x v="1"/>
    <x v="0"/>
    <x v="0"/>
    <x v="1"/>
    <x v="0"/>
    <x v="1"/>
    <x v="3"/>
    <x v="0"/>
    <x v="1"/>
  </r>
  <r>
    <x v="292"/>
    <x v="48"/>
    <x v="8"/>
    <x v="20"/>
    <x v="3"/>
    <x v="9"/>
    <x v="1"/>
    <x v="1"/>
    <x v="2"/>
    <x v="0"/>
    <x v="0"/>
    <x v="1"/>
    <x v="0"/>
    <x v="0"/>
    <x v="2"/>
    <x v="0"/>
    <x v="5"/>
  </r>
  <r>
    <x v="293"/>
    <x v="68"/>
    <x v="11"/>
    <x v="42"/>
    <x v="1"/>
    <x v="16"/>
    <x v="3"/>
    <x v="0"/>
    <x v="3"/>
    <x v="0"/>
    <x v="0"/>
    <x v="1"/>
    <x v="0"/>
    <x v="0"/>
    <x v="0"/>
    <x v="0"/>
    <x v="5"/>
  </r>
  <r>
    <x v="294"/>
    <x v="202"/>
    <x v="3"/>
    <x v="4"/>
    <x v="1"/>
    <x v="11"/>
    <x v="2"/>
    <x v="0"/>
    <x v="5"/>
    <x v="1"/>
    <x v="0"/>
    <x v="0"/>
    <x v="0"/>
    <x v="0"/>
    <x v="3"/>
    <x v="1"/>
    <x v="5"/>
  </r>
  <r>
    <x v="295"/>
    <x v="203"/>
    <x v="10"/>
    <x v="34"/>
    <x v="3"/>
    <x v="0"/>
    <x v="4"/>
    <x v="0"/>
    <x v="5"/>
    <x v="0"/>
    <x v="0"/>
    <x v="1"/>
    <x v="0"/>
    <x v="0"/>
    <x v="1"/>
    <x v="0"/>
    <x v="3"/>
  </r>
  <r>
    <x v="296"/>
    <x v="204"/>
    <x v="8"/>
    <x v="38"/>
    <x v="3"/>
    <x v="15"/>
    <x v="0"/>
    <x v="0"/>
    <x v="2"/>
    <x v="0"/>
    <x v="0"/>
    <x v="1"/>
    <x v="0"/>
    <x v="0"/>
    <x v="3"/>
    <x v="0"/>
    <x v="5"/>
  </r>
  <r>
    <x v="297"/>
    <x v="205"/>
    <x v="0"/>
    <x v="9"/>
    <x v="0"/>
    <x v="0"/>
    <x v="3"/>
    <x v="0"/>
    <x v="6"/>
    <x v="0"/>
    <x v="0"/>
    <x v="1"/>
    <x v="0"/>
    <x v="0"/>
    <x v="1"/>
    <x v="0"/>
    <x v="3"/>
  </r>
  <r>
    <x v="298"/>
    <x v="206"/>
    <x v="3"/>
    <x v="14"/>
    <x v="1"/>
    <x v="8"/>
    <x v="1"/>
    <x v="1"/>
    <x v="5"/>
    <x v="1"/>
    <x v="0"/>
    <x v="0"/>
    <x v="0"/>
    <x v="0"/>
    <x v="4"/>
    <x v="0"/>
    <x v="4"/>
  </r>
  <r>
    <x v="299"/>
    <x v="175"/>
    <x v="6"/>
    <x v="22"/>
    <x v="3"/>
    <x v="17"/>
    <x v="1"/>
    <x v="0"/>
    <x v="2"/>
    <x v="1"/>
    <x v="0"/>
    <x v="1"/>
    <x v="0"/>
    <x v="1"/>
    <x v="1"/>
    <x v="0"/>
    <x v="1"/>
  </r>
  <r>
    <x v="300"/>
    <x v="114"/>
    <x v="2"/>
    <x v="49"/>
    <x v="2"/>
    <x v="5"/>
    <x v="2"/>
    <x v="0"/>
    <x v="1"/>
    <x v="0"/>
    <x v="0"/>
    <x v="0"/>
    <x v="0"/>
    <x v="0"/>
    <x v="3"/>
    <x v="0"/>
    <x v="4"/>
  </r>
  <r>
    <x v="301"/>
    <x v="207"/>
    <x v="4"/>
    <x v="10"/>
    <x v="0"/>
    <x v="14"/>
    <x v="1"/>
    <x v="0"/>
    <x v="7"/>
    <x v="0"/>
    <x v="0"/>
    <x v="1"/>
    <x v="0"/>
    <x v="0"/>
    <x v="4"/>
    <x v="0"/>
    <x v="4"/>
  </r>
  <r>
    <x v="302"/>
    <x v="208"/>
    <x v="9"/>
    <x v="49"/>
    <x v="2"/>
    <x v="13"/>
    <x v="0"/>
    <x v="0"/>
    <x v="3"/>
    <x v="0"/>
    <x v="0"/>
    <x v="1"/>
    <x v="0"/>
    <x v="0"/>
    <x v="1"/>
    <x v="0"/>
    <x v="3"/>
  </r>
  <r>
    <x v="303"/>
    <x v="199"/>
    <x v="11"/>
    <x v="40"/>
    <x v="1"/>
    <x v="2"/>
    <x v="2"/>
    <x v="1"/>
    <x v="1"/>
    <x v="1"/>
    <x v="0"/>
    <x v="0"/>
    <x v="0"/>
    <x v="0"/>
    <x v="2"/>
    <x v="0"/>
    <x v="0"/>
  </r>
  <r>
    <x v="304"/>
    <x v="209"/>
    <x v="2"/>
    <x v="3"/>
    <x v="2"/>
    <x v="15"/>
    <x v="4"/>
    <x v="0"/>
    <x v="6"/>
    <x v="1"/>
    <x v="0"/>
    <x v="1"/>
    <x v="0"/>
    <x v="0"/>
    <x v="1"/>
    <x v="0"/>
    <x v="0"/>
  </r>
  <r>
    <x v="305"/>
    <x v="148"/>
    <x v="10"/>
    <x v="34"/>
    <x v="3"/>
    <x v="11"/>
    <x v="4"/>
    <x v="0"/>
    <x v="0"/>
    <x v="0"/>
    <x v="0"/>
    <x v="1"/>
    <x v="0"/>
    <x v="0"/>
    <x v="4"/>
    <x v="0"/>
    <x v="4"/>
  </r>
  <r>
    <x v="306"/>
    <x v="210"/>
    <x v="4"/>
    <x v="5"/>
    <x v="0"/>
    <x v="13"/>
    <x v="0"/>
    <x v="1"/>
    <x v="3"/>
    <x v="1"/>
    <x v="0"/>
    <x v="0"/>
    <x v="0"/>
    <x v="0"/>
    <x v="3"/>
    <x v="0"/>
    <x v="1"/>
  </r>
  <r>
    <x v="307"/>
    <x v="60"/>
    <x v="8"/>
    <x v="38"/>
    <x v="3"/>
    <x v="11"/>
    <x v="4"/>
    <x v="1"/>
    <x v="3"/>
    <x v="0"/>
    <x v="0"/>
    <x v="1"/>
    <x v="0"/>
    <x v="0"/>
    <x v="0"/>
    <x v="1"/>
    <x v="0"/>
  </r>
  <r>
    <x v="308"/>
    <x v="211"/>
    <x v="5"/>
    <x v="41"/>
    <x v="0"/>
    <x v="6"/>
    <x v="2"/>
    <x v="1"/>
    <x v="2"/>
    <x v="0"/>
    <x v="0"/>
    <x v="0"/>
    <x v="0"/>
    <x v="1"/>
    <x v="0"/>
    <x v="1"/>
    <x v="5"/>
  </r>
  <r>
    <x v="309"/>
    <x v="212"/>
    <x v="5"/>
    <x v="48"/>
    <x v="0"/>
    <x v="0"/>
    <x v="4"/>
    <x v="0"/>
    <x v="5"/>
    <x v="0"/>
    <x v="0"/>
    <x v="0"/>
    <x v="0"/>
    <x v="0"/>
    <x v="4"/>
    <x v="0"/>
    <x v="0"/>
  </r>
  <r>
    <x v="310"/>
    <x v="204"/>
    <x v="8"/>
    <x v="38"/>
    <x v="3"/>
    <x v="6"/>
    <x v="4"/>
    <x v="0"/>
    <x v="6"/>
    <x v="0"/>
    <x v="0"/>
    <x v="1"/>
    <x v="0"/>
    <x v="0"/>
    <x v="0"/>
    <x v="1"/>
    <x v="4"/>
  </r>
  <r>
    <x v="311"/>
    <x v="213"/>
    <x v="10"/>
    <x v="28"/>
    <x v="3"/>
    <x v="15"/>
    <x v="0"/>
    <x v="0"/>
    <x v="3"/>
    <x v="1"/>
    <x v="0"/>
    <x v="1"/>
    <x v="0"/>
    <x v="0"/>
    <x v="4"/>
    <x v="0"/>
    <x v="2"/>
  </r>
  <r>
    <x v="312"/>
    <x v="44"/>
    <x v="4"/>
    <x v="23"/>
    <x v="0"/>
    <x v="13"/>
    <x v="3"/>
    <x v="0"/>
    <x v="7"/>
    <x v="0"/>
    <x v="0"/>
    <x v="0"/>
    <x v="0"/>
    <x v="0"/>
    <x v="4"/>
    <x v="1"/>
    <x v="3"/>
  </r>
  <r>
    <x v="313"/>
    <x v="15"/>
    <x v="8"/>
    <x v="13"/>
    <x v="3"/>
    <x v="7"/>
    <x v="2"/>
    <x v="0"/>
    <x v="1"/>
    <x v="0"/>
    <x v="0"/>
    <x v="0"/>
    <x v="0"/>
    <x v="0"/>
    <x v="3"/>
    <x v="1"/>
    <x v="2"/>
  </r>
  <r>
    <x v="314"/>
    <x v="65"/>
    <x v="4"/>
    <x v="5"/>
    <x v="0"/>
    <x v="4"/>
    <x v="4"/>
    <x v="0"/>
    <x v="6"/>
    <x v="1"/>
    <x v="0"/>
    <x v="1"/>
    <x v="0"/>
    <x v="0"/>
    <x v="2"/>
    <x v="0"/>
    <x v="5"/>
  </r>
  <r>
    <x v="315"/>
    <x v="188"/>
    <x v="6"/>
    <x v="19"/>
    <x v="3"/>
    <x v="1"/>
    <x v="4"/>
    <x v="1"/>
    <x v="7"/>
    <x v="0"/>
    <x v="0"/>
    <x v="1"/>
    <x v="0"/>
    <x v="0"/>
    <x v="3"/>
    <x v="1"/>
    <x v="3"/>
  </r>
  <r>
    <x v="316"/>
    <x v="37"/>
    <x v="10"/>
    <x v="28"/>
    <x v="3"/>
    <x v="5"/>
    <x v="1"/>
    <x v="0"/>
    <x v="1"/>
    <x v="1"/>
    <x v="0"/>
    <x v="0"/>
    <x v="0"/>
    <x v="0"/>
    <x v="1"/>
    <x v="0"/>
    <x v="5"/>
  </r>
  <r>
    <x v="317"/>
    <x v="214"/>
    <x v="8"/>
    <x v="13"/>
    <x v="3"/>
    <x v="8"/>
    <x v="3"/>
    <x v="0"/>
    <x v="3"/>
    <x v="0"/>
    <x v="0"/>
    <x v="0"/>
    <x v="0"/>
    <x v="0"/>
    <x v="4"/>
    <x v="0"/>
    <x v="4"/>
  </r>
  <r>
    <x v="318"/>
    <x v="215"/>
    <x v="7"/>
    <x v="27"/>
    <x v="2"/>
    <x v="10"/>
    <x v="1"/>
    <x v="0"/>
    <x v="5"/>
    <x v="0"/>
    <x v="0"/>
    <x v="1"/>
    <x v="0"/>
    <x v="1"/>
    <x v="4"/>
    <x v="0"/>
    <x v="3"/>
  </r>
  <r>
    <x v="319"/>
    <x v="216"/>
    <x v="7"/>
    <x v="37"/>
    <x v="2"/>
    <x v="16"/>
    <x v="2"/>
    <x v="0"/>
    <x v="6"/>
    <x v="1"/>
    <x v="0"/>
    <x v="1"/>
    <x v="0"/>
    <x v="0"/>
    <x v="4"/>
    <x v="0"/>
    <x v="1"/>
  </r>
  <r>
    <x v="320"/>
    <x v="217"/>
    <x v="2"/>
    <x v="18"/>
    <x v="2"/>
    <x v="19"/>
    <x v="3"/>
    <x v="0"/>
    <x v="3"/>
    <x v="0"/>
    <x v="0"/>
    <x v="1"/>
    <x v="0"/>
    <x v="0"/>
    <x v="3"/>
    <x v="0"/>
    <x v="5"/>
  </r>
  <r>
    <x v="321"/>
    <x v="218"/>
    <x v="1"/>
    <x v="36"/>
    <x v="1"/>
    <x v="19"/>
    <x v="0"/>
    <x v="1"/>
    <x v="4"/>
    <x v="0"/>
    <x v="0"/>
    <x v="0"/>
    <x v="0"/>
    <x v="0"/>
    <x v="3"/>
    <x v="0"/>
    <x v="3"/>
  </r>
  <r>
    <x v="322"/>
    <x v="94"/>
    <x v="3"/>
    <x v="14"/>
    <x v="1"/>
    <x v="18"/>
    <x v="1"/>
    <x v="0"/>
    <x v="6"/>
    <x v="0"/>
    <x v="0"/>
    <x v="0"/>
    <x v="0"/>
    <x v="0"/>
    <x v="3"/>
    <x v="0"/>
    <x v="3"/>
  </r>
  <r>
    <x v="323"/>
    <x v="51"/>
    <x v="10"/>
    <x v="34"/>
    <x v="3"/>
    <x v="17"/>
    <x v="1"/>
    <x v="0"/>
    <x v="3"/>
    <x v="1"/>
    <x v="0"/>
    <x v="1"/>
    <x v="0"/>
    <x v="0"/>
    <x v="4"/>
    <x v="0"/>
    <x v="5"/>
  </r>
  <r>
    <x v="324"/>
    <x v="66"/>
    <x v="11"/>
    <x v="31"/>
    <x v="1"/>
    <x v="8"/>
    <x v="1"/>
    <x v="1"/>
    <x v="5"/>
    <x v="0"/>
    <x v="0"/>
    <x v="0"/>
    <x v="0"/>
    <x v="0"/>
    <x v="2"/>
    <x v="0"/>
    <x v="3"/>
  </r>
  <r>
    <x v="325"/>
    <x v="82"/>
    <x v="0"/>
    <x v="30"/>
    <x v="0"/>
    <x v="2"/>
    <x v="1"/>
    <x v="0"/>
    <x v="0"/>
    <x v="0"/>
    <x v="0"/>
    <x v="1"/>
    <x v="0"/>
    <x v="0"/>
    <x v="1"/>
    <x v="0"/>
    <x v="4"/>
  </r>
  <r>
    <x v="326"/>
    <x v="210"/>
    <x v="4"/>
    <x v="5"/>
    <x v="0"/>
    <x v="17"/>
    <x v="2"/>
    <x v="0"/>
    <x v="6"/>
    <x v="0"/>
    <x v="0"/>
    <x v="1"/>
    <x v="0"/>
    <x v="0"/>
    <x v="3"/>
    <x v="0"/>
    <x v="4"/>
  </r>
  <r>
    <x v="327"/>
    <x v="219"/>
    <x v="7"/>
    <x v="11"/>
    <x v="2"/>
    <x v="1"/>
    <x v="1"/>
    <x v="0"/>
    <x v="3"/>
    <x v="0"/>
    <x v="0"/>
    <x v="1"/>
    <x v="0"/>
    <x v="0"/>
    <x v="2"/>
    <x v="0"/>
    <x v="4"/>
  </r>
  <r>
    <x v="328"/>
    <x v="16"/>
    <x v="2"/>
    <x v="3"/>
    <x v="2"/>
    <x v="3"/>
    <x v="1"/>
    <x v="1"/>
    <x v="2"/>
    <x v="0"/>
    <x v="0"/>
    <x v="0"/>
    <x v="0"/>
    <x v="0"/>
    <x v="2"/>
    <x v="0"/>
    <x v="3"/>
  </r>
  <r>
    <x v="329"/>
    <x v="220"/>
    <x v="5"/>
    <x v="26"/>
    <x v="0"/>
    <x v="10"/>
    <x v="3"/>
    <x v="0"/>
    <x v="6"/>
    <x v="1"/>
    <x v="0"/>
    <x v="0"/>
    <x v="0"/>
    <x v="0"/>
    <x v="3"/>
    <x v="0"/>
    <x v="1"/>
  </r>
  <r>
    <x v="330"/>
    <x v="12"/>
    <x v="7"/>
    <x v="11"/>
    <x v="2"/>
    <x v="9"/>
    <x v="4"/>
    <x v="0"/>
    <x v="1"/>
    <x v="0"/>
    <x v="0"/>
    <x v="0"/>
    <x v="0"/>
    <x v="0"/>
    <x v="4"/>
    <x v="0"/>
    <x v="1"/>
  </r>
  <r>
    <x v="331"/>
    <x v="30"/>
    <x v="4"/>
    <x v="23"/>
    <x v="0"/>
    <x v="9"/>
    <x v="2"/>
    <x v="0"/>
    <x v="1"/>
    <x v="1"/>
    <x v="0"/>
    <x v="1"/>
    <x v="0"/>
    <x v="0"/>
    <x v="3"/>
    <x v="1"/>
    <x v="3"/>
  </r>
  <r>
    <x v="332"/>
    <x v="100"/>
    <x v="4"/>
    <x v="46"/>
    <x v="0"/>
    <x v="18"/>
    <x v="2"/>
    <x v="0"/>
    <x v="6"/>
    <x v="0"/>
    <x v="0"/>
    <x v="1"/>
    <x v="0"/>
    <x v="0"/>
    <x v="2"/>
    <x v="0"/>
    <x v="1"/>
  </r>
  <r>
    <x v="333"/>
    <x v="39"/>
    <x v="0"/>
    <x v="30"/>
    <x v="0"/>
    <x v="7"/>
    <x v="0"/>
    <x v="0"/>
    <x v="1"/>
    <x v="1"/>
    <x v="0"/>
    <x v="0"/>
    <x v="0"/>
    <x v="0"/>
    <x v="2"/>
    <x v="0"/>
    <x v="4"/>
  </r>
  <r>
    <x v="334"/>
    <x v="11"/>
    <x v="4"/>
    <x v="10"/>
    <x v="0"/>
    <x v="6"/>
    <x v="0"/>
    <x v="0"/>
    <x v="0"/>
    <x v="1"/>
    <x v="0"/>
    <x v="1"/>
    <x v="0"/>
    <x v="0"/>
    <x v="4"/>
    <x v="0"/>
    <x v="2"/>
  </r>
  <r>
    <x v="335"/>
    <x v="42"/>
    <x v="9"/>
    <x v="32"/>
    <x v="2"/>
    <x v="6"/>
    <x v="0"/>
    <x v="0"/>
    <x v="3"/>
    <x v="1"/>
    <x v="0"/>
    <x v="1"/>
    <x v="0"/>
    <x v="0"/>
    <x v="0"/>
    <x v="0"/>
    <x v="0"/>
  </r>
  <r>
    <x v="336"/>
    <x v="221"/>
    <x v="7"/>
    <x v="27"/>
    <x v="2"/>
    <x v="9"/>
    <x v="3"/>
    <x v="0"/>
    <x v="1"/>
    <x v="1"/>
    <x v="0"/>
    <x v="0"/>
    <x v="0"/>
    <x v="0"/>
    <x v="2"/>
    <x v="0"/>
    <x v="0"/>
  </r>
  <r>
    <x v="337"/>
    <x v="215"/>
    <x v="7"/>
    <x v="27"/>
    <x v="2"/>
    <x v="6"/>
    <x v="0"/>
    <x v="0"/>
    <x v="7"/>
    <x v="0"/>
    <x v="0"/>
    <x v="0"/>
    <x v="0"/>
    <x v="0"/>
    <x v="0"/>
    <x v="0"/>
    <x v="5"/>
  </r>
  <r>
    <x v="338"/>
    <x v="182"/>
    <x v="11"/>
    <x v="35"/>
    <x v="1"/>
    <x v="6"/>
    <x v="0"/>
    <x v="1"/>
    <x v="4"/>
    <x v="1"/>
    <x v="0"/>
    <x v="0"/>
    <x v="0"/>
    <x v="0"/>
    <x v="0"/>
    <x v="1"/>
    <x v="3"/>
  </r>
  <r>
    <x v="339"/>
    <x v="222"/>
    <x v="5"/>
    <x v="48"/>
    <x v="0"/>
    <x v="9"/>
    <x v="0"/>
    <x v="0"/>
    <x v="2"/>
    <x v="0"/>
    <x v="0"/>
    <x v="0"/>
    <x v="0"/>
    <x v="0"/>
    <x v="3"/>
    <x v="0"/>
    <x v="2"/>
  </r>
  <r>
    <x v="340"/>
    <x v="158"/>
    <x v="10"/>
    <x v="34"/>
    <x v="3"/>
    <x v="2"/>
    <x v="0"/>
    <x v="0"/>
    <x v="0"/>
    <x v="0"/>
    <x v="0"/>
    <x v="1"/>
    <x v="0"/>
    <x v="0"/>
    <x v="0"/>
    <x v="0"/>
    <x v="3"/>
  </r>
  <r>
    <x v="341"/>
    <x v="223"/>
    <x v="5"/>
    <x v="26"/>
    <x v="0"/>
    <x v="1"/>
    <x v="0"/>
    <x v="1"/>
    <x v="2"/>
    <x v="0"/>
    <x v="0"/>
    <x v="0"/>
    <x v="0"/>
    <x v="0"/>
    <x v="3"/>
    <x v="1"/>
    <x v="3"/>
  </r>
  <r>
    <x v="342"/>
    <x v="224"/>
    <x v="5"/>
    <x v="48"/>
    <x v="0"/>
    <x v="18"/>
    <x v="1"/>
    <x v="0"/>
    <x v="2"/>
    <x v="1"/>
    <x v="0"/>
    <x v="1"/>
    <x v="0"/>
    <x v="0"/>
    <x v="4"/>
    <x v="0"/>
    <x v="2"/>
  </r>
  <r>
    <x v="343"/>
    <x v="155"/>
    <x v="6"/>
    <x v="22"/>
    <x v="3"/>
    <x v="0"/>
    <x v="2"/>
    <x v="0"/>
    <x v="5"/>
    <x v="0"/>
    <x v="0"/>
    <x v="0"/>
    <x v="0"/>
    <x v="0"/>
    <x v="3"/>
    <x v="0"/>
    <x v="1"/>
  </r>
  <r>
    <x v="344"/>
    <x v="225"/>
    <x v="0"/>
    <x v="0"/>
    <x v="0"/>
    <x v="5"/>
    <x v="1"/>
    <x v="0"/>
    <x v="5"/>
    <x v="1"/>
    <x v="0"/>
    <x v="1"/>
    <x v="1"/>
    <x v="0"/>
    <x v="1"/>
    <x v="0"/>
    <x v="1"/>
  </r>
  <r>
    <x v="345"/>
    <x v="106"/>
    <x v="5"/>
    <x v="48"/>
    <x v="0"/>
    <x v="7"/>
    <x v="0"/>
    <x v="0"/>
    <x v="7"/>
    <x v="0"/>
    <x v="0"/>
    <x v="1"/>
    <x v="0"/>
    <x v="0"/>
    <x v="2"/>
    <x v="1"/>
    <x v="3"/>
  </r>
  <r>
    <x v="346"/>
    <x v="189"/>
    <x v="1"/>
    <x v="6"/>
    <x v="1"/>
    <x v="1"/>
    <x v="3"/>
    <x v="0"/>
    <x v="0"/>
    <x v="0"/>
    <x v="0"/>
    <x v="1"/>
    <x v="0"/>
    <x v="0"/>
    <x v="1"/>
    <x v="0"/>
    <x v="4"/>
  </r>
  <r>
    <x v="347"/>
    <x v="194"/>
    <x v="8"/>
    <x v="38"/>
    <x v="3"/>
    <x v="16"/>
    <x v="2"/>
    <x v="0"/>
    <x v="5"/>
    <x v="0"/>
    <x v="0"/>
    <x v="1"/>
    <x v="0"/>
    <x v="0"/>
    <x v="0"/>
    <x v="0"/>
    <x v="2"/>
  </r>
  <r>
    <x v="348"/>
    <x v="84"/>
    <x v="3"/>
    <x v="4"/>
    <x v="1"/>
    <x v="9"/>
    <x v="2"/>
    <x v="0"/>
    <x v="2"/>
    <x v="1"/>
    <x v="0"/>
    <x v="1"/>
    <x v="0"/>
    <x v="0"/>
    <x v="3"/>
    <x v="0"/>
    <x v="4"/>
  </r>
  <r>
    <x v="349"/>
    <x v="86"/>
    <x v="11"/>
    <x v="42"/>
    <x v="1"/>
    <x v="9"/>
    <x v="1"/>
    <x v="1"/>
    <x v="5"/>
    <x v="0"/>
    <x v="0"/>
    <x v="1"/>
    <x v="0"/>
    <x v="0"/>
    <x v="2"/>
    <x v="0"/>
    <x v="5"/>
  </r>
  <r>
    <x v="350"/>
    <x v="2"/>
    <x v="2"/>
    <x v="2"/>
    <x v="2"/>
    <x v="14"/>
    <x v="4"/>
    <x v="1"/>
    <x v="6"/>
    <x v="1"/>
    <x v="0"/>
    <x v="0"/>
    <x v="0"/>
    <x v="0"/>
    <x v="3"/>
    <x v="0"/>
    <x v="2"/>
  </r>
  <r>
    <x v="351"/>
    <x v="226"/>
    <x v="6"/>
    <x v="22"/>
    <x v="3"/>
    <x v="5"/>
    <x v="2"/>
    <x v="1"/>
    <x v="3"/>
    <x v="0"/>
    <x v="0"/>
    <x v="0"/>
    <x v="0"/>
    <x v="0"/>
    <x v="2"/>
    <x v="0"/>
    <x v="0"/>
  </r>
  <r>
    <x v="352"/>
    <x v="149"/>
    <x v="4"/>
    <x v="10"/>
    <x v="0"/>
    <x v="1"/>
    <x v="3"/>
    <x v="0"/>
    <x v="2"/>
    <x v="0"/>
    <x v="0"/>
    <x v="1"/>
    <x v="0"/>
    <x v="0"/>
    <x v="2"/>
    <x v="0"/>
    <x v="1"/>
  </r>
  <r>
    <x v="353"/>
    <x v="105"/>
    <x v="2"/>
    <x v="18"/>
    <x v="2"/>
    <x v="7"/>
    <x v="4"/>
    <x v="1"/>
    <x v="1"/>
    <x v="0"/>
    <x v="0"/>
    <x v="1"/>
    <x v="0"/>
    <x v="0"/>
    <x v="0"/>
    <x v="0"/>
    <x v="3"/>
  </r>
  <r>
    <x v="354"/>
    <x v="192"/>
    <x v="3"/>
    <x v="45"/>
    <x v="1"/>
    <x v="14"/>
    <x v="3"/>
    <x v="0"/>
    <x v="4"/>
    <x v="1"/>
    <x v="0"/>
    <x v="0"/>
    <x v="0"/>
    <x v="0"/>
    <x v="2"/>
    <x v="0"/>
    <x v="0"/>
  </r>
  <r>
    <x v="355"/>
    <x v="224"/>
    <x v="5"/>
    <x v="48"/>
    <x v="0"/>
    <x v="16"/>
    <x v="1"/>
    <x v="0"/>
    <x v="1"/>
    <x v="0"/>
    <x v="0"/>
    <x v="1"/>
    <x v="0"/>
    <x v="0"/>
    <x v="0"/>
    <x v="0"/>
    <x v="4"/>
  </r>
  <r>
    <x v="356"/>
    <x v="121"/>
    <x v="2"/>
    <x v="44"/>
    <x v="2"/>
    <x v="18"/>
    <x v="2"/>
    <x v="0"/>
    <x v="0"/>
    <x v="1"/>
    <x v="0"/>
    <x v="1"/>
    <x v="0"/>
    <x v="0"/>
    <x v="4"/>
    <x v="1"/>
    <x v="3"/>
  </r>
  <r>
    <x v="357"/>
    <x v="125"/>
    <x v="11"/>
    <x v="35"/>
    <x v="1"/>
    <x v="2"/>
    <x v="1"/>
    <x v="0"/>
    <x v="6"/>
    <x v="0"/>
    <x v="0"/>
    <x v="1"/>
    <x v="0"/>
    <x v="0"/>
    <x v="2"/>
    <x v="1"/>
    <x v="5"/>
  </r>
  <r>
    <x v="358"/>
    <x v="227"/>
    <x v="6"/>
    <x v="8"/>
    <x v="3"/>
    <x v="4"/>
    <x v="4"/>
    <x v="0"/>
    <x v="1"/>
    <x v="1"/>
    <x v="0"/>
    <x v="1"/>
    <x v="0"/>
    <x v="0"/>
    <x v="4"/>
    <x v="0"/>
    <x v="2"/>
  </r>
  <r>
    <x v="359"/>
    <x v="60"/>
    <x v="8"/>
    <x v="38"/>
    <x v="3"/>
    <x v="9"/>
    <x v="0"/>
    <x v="0"/>
    <x v="5"/>
    <x v="0"/>
    <x v="0"/>
    <x v="0"/>
    <x v="0"/>
    <x v="0"/>
    <x v="4"/>
    <x v="0"/>
    <x v="5"/>
  </r>
  <r>
    <x v="360"/>
    <x v="228"/>
    <x v="6"/>
    <x v="51"/>
    <x v="3"/>
    <x v="11"/>
    <x v="1"/>
    <x v="0"/>
    <x v="2"/>
    <x v="1"/>
    <x v="0"/>
    <x v="0"/>
    <x v="0"/>
    <x v="0"/>
    <x v="4"/>
    <x v="0"/>
    <x v="0"/>
  </r>
  <r>
    <x v="361"/>
    <x v="42"/>
    <x v="9"/>
    <x v="32"/>
    <x v="2"/>
    <x v="11"/>
    <x v="3"/>
    <x v="0"/>
    <x v="1"/>
    <x v="0"/>
    <x v="0"/>
    <x v="1"/>
    <x v="0"/>
    <x v="0"/>
    <x v="1"/>
    <x v="1"/>
    <x v="3"/>
  </r>
  <r>
    <x v="362"/>
    <x v="229"/>
    <x v="9"/>
    <x v="50"/>
    <x v="2"/>
    <x v="2"/>
    <x v="1"/>
    <x v="0"/>
    <x v="3"/>
    <x v="1"/>
    <x v="0"/>
    <x v="0"/>
    <x v="0"/>
    <x v="0"/>
    <x v="2"/>
    <x v="1"/>
    <x v="0"/>
  </r>
  <r>
    <x v="363"/>
    <x v="230"/>
    <x v="10"/>
    <x v="28"/>
    <x v="3"/>
    <x v="3"/>
    <x v="2"/>
    <x v="1"/>
    <x v="5"/>
    <x v="0"/>
    <x v="0"/>
    <x v="0"/>
    <x v="0"/>
    <x v="0"/>
    <x v="3"/>
    <x v="0"/>
    <x v="4"/>
  </r>
  <r>
    <x v="364"/>
    <x v="108"/>
    <x v="7"/>
    <x v="37"/>
    <x v="2"/>
    <x v="7"/>
    <x v="0"/>
    <x v="1"/>
    <x v="4"/>
    <x v="1"/>
    <x v="0"/>
    <x v="1"/>
    <x v="0"/>
    <x v="0"/>
    <x v="2"/>
    <x v="0"/>
    <x v="1"/>
  </r>
  <r>
    <x v="365"/>
    <x v="207"/>
    <x v="4"/>
    <x v="10"/>
    <x v="0"/>
    <x v="14"/>
    <x v="3"/>
    <x v="1"/>
    <x v="6"/>
    <x v="1"/>
    <x v="0"/>
    <x v="1"/>
    <x v="1"/>
    <x v="0"/>
    <x v="3"/>
    <x v="0"/>
    <x v="3"/>
  </r>
  <r>
    <x v="366"/>
    <x v="122"/>
    <x v="2"/>
    <x v="18"/>
    <x v="2"/>
    <x v="8"/>
    <x v="0"/>
    <x v="1"/>
    <x v="1"/>
    <x v="0"/>
    <x v="0"/>
    <x v="0"/>
    <x v="0"/>
    <x v="0"/>
    <x v="4"/>
    <x v="0"/>
    <x v="1"/>
  </r>
  <r>
    <x v="367"/>
    <x v="80"/>
    <x v="7"/>
    <x v="37"/>
    <x v="2"/>
    <x v="19"/>
    <x v="2"/>
    <x v="1"/>
    <x v="2"/>
    <x v="1"/>
    <x v="0"/>
    <x v="1"/>
    <x v="0"/>
    <x v="0"/>
    <x v="0"/>
    <x v="0"/>
    <x v="3"/>
  </r>
  <r>
    <x v="368"/>
    <x v="126"/>
    <x v="2"/>
    <x v="44"/>
    <x v="2"/>
    <x v="6"/>
    <x v="2"/>
    <x v="0"/>
    <x v="0"/>
    <x v="0"/>
    <x v="0"/>
    <x v="1"/>
    <x v="0"/>
    <x v="0"/>
    <x v="4"/>
    <x v="0"/>
    <x v="1"/>
  </r>
  <r>
    <x v="369"/>
    <x v="231"/>
    <x v="4"/>
    <x v="23"/>
    <x v="0"/>
    <x v="19"/>
    <x v="3"/>
    <x v="0"/>
    <x v="3"/>
    <x v="0"/>
    <x v="0"/>
    <x v="0"/>
    <x v="0"/>
    <x v="0"/>
    <x v="3"/>
    <x v="0"/>
    <x v="2"/>
  </r>
  <r>
    <x v="370"/>
    <x v="7"/>
    <x v="5"/>
    <x v="7"/>
    <x v="0"/>
    <x v="17"/>
    <x v="3"/>
    <x v="0"/>
    <x v="2"/>
    <x v="1"/>
    <x v="0"/>
    <x v="0"/>
    <x v="0"/>
    <x v="0"/>
    <x v="2"/>
    <x v="0"/>
    <x v="1"/>
  </r>
  <r>
    <x v="371"/>
    <x v="197"/>
    <x v="9"/>
    <x v="50"/>
    <x v="2"/>
    <x v="13"/>
    <x v="2"/>
    <x v="0"/>
    <x v="4"/>
    <x v="0"/>
    <x v="0"/>
    <x v="0"/>
    <x v="0"/>
    <x v="0"/>
    <x v="4"/>
    <x v="0"/>
    <x v="3"/>
  </r>
  <r>
    <x v="372"/>
    <x v="57"/>
    <x v="1"/>
    <x v="1"/>
    <x v="1"/>
    <x v="11"/>
    <x v="0"/>
    <x v="0"/>
    <x v="2"/>
    <x v="0"/>
    <x v="0"/>
    <x v="0"/>
    <x v="0"/>
    <x v="0"/>
    <x v="4"/>
    <x v="0"/>
    <x v="1"/>
  </r>
  <r>
    <x v="373"/>
    <x v="232"/>
    <x v="5"/>
    <x v="41"/>
    <x v="0"/>
    <x v="15"/>
    <x v="2"/>
    <x v="0"/>
    <x v="5"/>
    <x v="0"/>
    <x v="0"/>
    <x v="1"/>
    <x v="0"/>
    <x v="0"/>
    <x v="2"/>
    <x v="0"/>
    <x v="4"/>
  </r>
  <r>
    <x v="374"/>
    <x v="233"/>
    <x v="6"/>
    <x v="8"/>
    <x v="3"/>
    <x v="8"/>
    <x v="1"/>
    <x v="1"/>
    <x v="3"/>
    <x v="0"/>
    <x v="0"/>
    <x v="0"/>
    <x v="0"/>
    <x v="0"/>
    <x v="1"/>
    <x v="0"/>
    <x v="3"/>
  </r>
  <r>
    <x v="375"/>
    <x v="63"/>
    <x v="8"/>
    <x v="39"/>
    <x v="3"/>
    <x v="1"/>
    <x v="2"/>
    <x v="0"/>
    <x v="1"/>
    <x v="0"/>
    <x v="0"/>
    <x v="1"/>
    <x v="0"/>
    <x v="0"/>
    <x v="3"/>
    <x v="0"/>
    <x v="3"/>
  </r>
  <r>
    <x v="376"/>
    <x v="234"/>
    <x v="1"/>
    <x v="36"/>
    <x v="1"/>
    <x v="1"/>
    <x v="1"/>
    <x v="0"/>
    <x v="4"/>
    <x v="1"/>
    <x v="0"/>
    <x v="0"/>
    <x v="1"/>
    <x v="0"/>
    <x v="4"/>
    <x v="0"/>
    <x v="5"/>
  </r>
  <r>
    <x v="377"/>
    <x v="235"/>
    <x v="8"/>
    <x v="13"/>
    <x v="3"/>
    <x v="5"/>
    <x v="2"/>
    <x v="1"/>
    <x v="6"/>
    <x v="1"/>
    <x v="0"/>
    <x v="1"/>
    <x v="0"/>
    <x v="0"/>
    <x v="2"/>
    <x v="0"/>
    <x v="0"/>
  </r>
  <r>
    <x v="378"/>
    <x v="236"/>
    <x v="5"/>
    <x v="7"/>
    <x v="0"/>
    <x v="0"/>
    <x v="3"/>
    <x v="0"/>
    <x v="0"/>
    <x v="0"/>
    <x v="0"/>
    <x v="0"/>
    <x v="0"/>
    <x v="0"/>
    <x v="0"/>
    <x v="0"/>
    <x v="5"/>
  </r>
  <r>
    <x v="379"/>
    <x v="237"/>
    <x v="11"/>
    <x v="42"/>
    <x v="1"/>
    <x v="7"/>
    <x v="2"/>
    <x v="0"/>
    <x v="4"/>
    <x v="0"/>
    <x v="0"/>
    <x v="1"/>
    <x v="0"/>
    <x v="0"/>
    <x v="3"/>
    <x v="0"/>
    <x v="2"/>
  </r>
  <r>
    <x v="380"/>
    <x v="238"/>
    <x v="9"/>
    <x v="15"/>
    <x v="2"/>
    <x v="10"/>
    <x v="1"/>
    <x v="1"/>
    <x v="5"/>
    <x v="0"/>
    <x v="0"/>
    <x v="1"/>
    <x v="0"/>
    <x v="0"/>
    <x v="4"/>
    <x v="0"/>
    <x v="3"/>
  </r>
  <r>
    <x v="381"/>
    <x v="239"/>
    <x v="5"/>
    <x v="7"/>
    <x v="0"/>
    <x v="13"/>
    <x v="2"/>
    <x v="0"/>
    <x v="6"/>
    <x v="0"/>
    <x v="0"/>
    <x v="1"/>
    <x v="0"/>
    <x v="0"/>
    <x v="1"/>
    <x v="0"/>
    <x v="1"/>
  </r>
  <r>
    <x v="382"/>
    <x v="220"/>
    <x v="5"/>
    <x v="26"/>
    <x v="0"/>
    <x v="2"/>
    <x v="0"/>
    <x v="0"/>
    <x v="4"/>
    <x v="0"/>
    <x v="0"/>
    <x v="1"/>
    <x v="0"/>
    <x v="0"/>
    <x v="4"/>
    <x v="0"/>
    <x v="5"/>
  </r>
  <r>
    <x v="383"/>
    <x v="240"/>
    <x v="6"/>
    <x v="52"/>
    <x v="3"/>
    <x v="7"/>
    <x v="3"/>
    <x v="1"/>
    <x v="1"/>
    <x v="0"/>
    <x v="0"/>
    <x v="1"/>
    <x v="0"/>
    <x v="0"/>
    <x v="4"/>
    <x v="0"/>
    <x v="2"/>
  </r>
  <r>
    <x v="384"/>
    <x v="110"/>
    <x v="11"/>
    <x v="42"/>
    <x v="1"/>
    <x v="8"/>
    <x v="2"/>
    <x v="0"/>
    <x v="2"/>
    <x v="1"/>
    <x v="0"/>
    <x v="0"/>
    <x v="0"/>
    <x v="0"/>
    <x v="0"/>
    <x v="0"/>
    <x v="4"/>
  </r>
  <r>
    <x v="385"/>
    <x v="241"/>
    <x v="6"/>
    <x v="52"/>
    <x v="3"/>
    <x v="18"/>
    <x v="4"/>
    <x v="0"/>
    <x v="4"/>
    <x v="1"/>
    <x v="0"/>
    <x v="0"/>
    <x v="0"/>
    <x v="0"/>
    <x v="0"/>
    <x v="0"/>
    <x v="3"/>
  </r>
  <r>
    <x v="386"/>
    <x v="2"/>
    <x v="2"/>
    <x v="2"/>
    <x v="2"/>
    <x v="3"/>
    <x v="3"/>
    <x v="0"/>
    <x v="0"/>
    <x v="0"/>
    <x v="0"/>
    <x v="1"/>
    <x v="0"/>
    <x v="0"/>
    <x v="1"/>
    <x v="1"/>
    <x v="3"/>
  </r>
  <r>
    <x v="387"/>
    <x v="193"/>
    <x v="2"/>
    <x v="44"/>
    <x v="2"/>
    <x v="4"/>
    <x v="1"/>
    <x v="0"/>
    <x v="3"/>
    <x v="0"/>
    <x v="0"/>
    <x v="0"/>
    <x v="0"/>
    <x v="0"/>
    <x v="4"/>
    <x v="0"/>
    <x v="1"/>
  </r>
  <r>
    <x v="388"/>
    <x v="2"/>
    <x v="2"/>
    <x v="2"/>
    <x v="2"/>
    <x v="18"/>
    <x v="1"/>
    <x v="1"/>
    <x v="6"/>
    <x v="0"/>
    <x v="0"/>
    <x v="1"/>
    <x v="1"/>
    <x v="0"/>
    <x v="1"/>
    <x v="1"/>
    <x v="0"/>
  </r>
  <r>
    <x v="389"/>
    <x v="131"/>
    <x v="9"/>
    <x v="50"/>
    <x v="2"/>
    <x v="18"/>
    <x v="4"/>
    <x v="0"/>
    <x v="5"/>
    <x v="1"/>
    <x v="0"/>
    <x v="0"/>
    <x v="0"/>
    <x v="0"/>
    <x v="1"/>
    <x v="0"/>
    <x v="1"/>
  </r>
  <r>
    <x v="390"/>
    <x v="214"/>
    <x v="8"/>
    <x v="13"/>
    <x v="3"/>
    <x v="9"/>
    <x v="0"/>
    <x v="0"/>
    <x v="2"/>
    <x v="1"/>
    <x v="0"/>
    <x v="0"/>
    <x v="0"/>
    <x v="0"/>
    <x v="0"/>
    <x v="0"/>
    <x v="1"/>
  </r>
  <r>
    <x v="391"/>
    <x v="172"/>
    <x v="10"/>
    <x v="25"/>
    <x v="3"/>
    <x v="12"/>
    <x v="3"/>
    <x v="1"/>
    <x v="6"/>
    <x v="1"/>
    <x v="0"/>
    <x v="0"/>
    <x v="0"/>
    <x v="0"/>
    <x v="3"/>
    <x v="0"/>
    <x v="4"/>
  </r>
  <r>
    <x v="392"/>
    <x v="242"/>
    <x v="11"/>
    <x v="31"/>
    <x v="1"/>
    <x v="14"/>
    <x v="0"/>
    <x v="0"/>
    <x v="2"/>
    <x v="1"/>
    <x v="0"/>
    <x v="1"/>
    <x v="0"/>
    <x v="0"/>
    <x v="4"/>
    <x v="0"/>
    <x v="5"/>
  </r>
  <r>
    <x v="393"/>
    <x v="243"/>
    <x v="2"/>
    <x v="3"/>
    <x v="2"/>
    <x v="19"/>
    <x v="0"/>
    <x v="0"/>
    <x v="6"/>
    <x v="1"/>
    <x v="0"/>
    <x v="0"/>
    <x v="0"/>
    <x v="0"/>
    <x v="2"/>
    <x v="0"/>
    <x v="5"/>
  </r>
  <r>
    <x v="394"/>
    <x v="244"/>
    <x v="11"/>
    <x v="40"/>
    <x v="1"/>
    <x v="5"/>
    <x v="1"/>
    <x v="1"/>
    <x v="4"/>
    <x v="1"/>
    <x v="0"/>
    <x v="0"/>
    <x v="0"/>
    <x v="0"/>
    <x v="4"/>
    <x v="0"/>
    <x v="2"/>
  </r>
  <r>
    <x v="395"/>
    <x v="245"/>
    <x v="4"/>
    <x v="24"/>
    <x v="0"/>
    <x v="4"/>
    <x v="0"/>
    <x v="0"/>
    <x v="2"/>
    <x v="0"/>
    <x v="0"/>
    <x v="0"/>
    <x v="0"/>
    <x v="0"/>
    <x v="4"/>
    <x v="0"/>
    <x v="4"/>
  </r>
  <r>
    <x v="396"/>
    <x v="102"/>
    <x v="7"/>
    <x v="47"/>
    <x v="2"/>
    <x v="4"/>
    <x v="0"/>
    <x v="1"/>
    <x v="7"/>
    <x v="1"/>
    <x v="0"/>
    <x v="1"/>
    <x v="0"/>
    <x v="0"/>
    <x v="1"/>
    <x v="0"/>
    <x v="5"/>
  </r>
  <r>
    <x v="397"/>
    <x v="73"/>
    <x v="8"/>
    <x v="38"/>
    <x v="3"/>
    <x v="18"/>
    <x v="2"/>
    <x v="0"/>
    <x v="3"/>
    <x v="1"/>
    <x v="0"/>
    <x v="1"/>
    <x v="0"/>
    <x v="0"/>
    <x v="1"/>
    <x v="0"/>
    <x v="5"/>
  </r>
  <r>
    <x v="398"/>
    <x v="188"/>
    <x v="6"/>
    <x v="19"/>
    <x v="3"/>
    <x v="11"/>
    <x v="1"/>
    <x v="0"/>
    <x v="0"/>
    <x v="0"/>
    <x v="0"/>
    <x v="1"/>
    <x v="0"/>
    <x v="0"/>
    <x v="4"/>
    <x v="0"/>
    <x v="0"/>
  </r>
  <r>
    <x v="399"/>
    <x v="195"/>
    <x v="1"/>
    <x v="31"/>
    <x v="1"/>
    <x v="5"/>
    <x v="0"/>
    <x v="0"/>
    <x v="0"/>
    <x v="1"/>
    <x v="0"/>
    <x v="1"/>
    <x v="0"/>
    <x v="0"/>
    <x v="0"/>
    <x v="0"/>
    <x v="0"/>
  </r>
  <r>
    <x v="400"/>
    <x v="246"/>
    <x v="10"/>
    <x v="28"/>
    <x v="3"/>
    <x v="1"/>
    <x v="0"/>
    <x v="0"/>
    <x v="5"/>
    <x v="1"/>
    <x v="0"/>
    <x v="1"/>
    <x v="0"/>
    <x v="0"/>
    <x v="2"/>
    <x v="0"/>
    <x v="0"/>
  </r>
  <r>
    <x v="401"/>
    <x v="192"/>
    <x v="3"/>
    <x v="45"/>
    <x v="1"/>
    <x v="10"/>
    <x v="2"/>
    <x v="0"/>
    <x v="2"/>
    <x v="0"/>
    <x v="0"/>
    <x v="1"/>
    <x v="0"/>
    <x v="0"/>
    <x v="0"/>
    <x v="0"/>
    <x v="0"/>
  </r>
  <r>
    <x v="402"/>
    <x v="216"/>
    <x v="7"/>
    <x v="37"/>
    <x v="2"/>
    <x v="0"/>
    <x v="4"/>
    <x v="1"/>
    <x v="2"/>
    <x v="0"/>
    <x v="0"/>
    <x v="0"/>
    <x v="0"/>
    <x v="0"/>
    <x v="4"/>
    <x v="0"/>
    <x v="5"/>
  </r>
  <r>
    <x v="403"/>
    <x v="165"/>
    <x v="7"/>
    <x v="43"/>
    <x v="2"/>
    <x v="8"/>
    <x v="3"/>
    <x v="0"/>
    <x v="7"/>
    <x v="1"/>
    <x v="0"/>
    <x v="0"/>
    <x v="0"/>
    <x v="0"/>
    <x v="0"/>
    <x v="0"/>
    <x v="2"/>
  </r>
  <r>
    <x v="404"/>
    <x v="247"/>
    <x v="8"/>
    <x v="13"/>
    <x v="3"/>
    <x v="13"/>
    <x v="4"/>
    <x v="0"/>
    <x v="4"/>
    <x v="1"/>
    <x v="0"/>
    <x v="1"/>
    <x v="0"/>
    <x v="0"/>
    <x v="0"/>
    <x v="0"/>
    <x v="5"/>
  </r>
  <r>
    <x v="405"/>
    <x v="248"/>
    <x v="0"/>
    <x v="9"/>
    <x v="0"/>
    <x v="6"/>
    <x v="4"/>
    <x v="1"/>
    <x v="7"/>
    <x v="0"/>
    <x v="0"/>
    <x v="0"/>
    <x v="0"/>
    <x v="0"/>
    <x v="3"/>
    <x v="0"/>
    <x v="0"/>
  </r>
  <r>
    <x v="406"/>
    <x v="249"/>
    <x v="0"/>
    <x v="9"/>
    <x v="0"/>
    <x v="15"/>
    <x v="2"/>
    <x v="0"/>
    <x v="5"/>
    <x v="0"/>
    <x v="0"/>
    <x v="0"/>
    <x v="0"/>
    <x v="0"/>
    <x v="4"/>
    <x v="0"/>
    <x v="3"/>
  </r>
  <r>
    <x v="407"/>
    <x v="209"/>
    <x v="2"/>
    <x v="3"/>
    <x v="2"/>
    <x v="0"/>
    <x v="0"/>
    <x v="1"/>
    <x v="4"/>
    <x v="1"/>
    <x v="0"/>
    <x v="0"/>
    <x v="0"/>
    <x v="1"/>
    <x v="4"/>
    <x v="0"/>
    <x v="1"/>
  </r>
  <r>
    <x v="408"/>
    <x v="87"/>
    <x v="5"/>
    <x v="41"/>
    <x v="0"/>
    <x v="11"/>
    <x v="0"/>
    <x v="0"/>
    <x v="6"/>
    <x v="0"/>
    <x v="0"/>
    <x v="1"/>
    <x v="0"/>
    <x v="0"/>
    <x v="1"/>
    <x v="0"/>
    <x v="2"/>
  </r>
  <r>
    <x v="409"/>
    <x v="250"/>
    <x v="10"/>
    <x v="25"/>
    <x v="3"/>
    <x v="11"/>
    <x v="0"/>
    <x v="0"/>
    <x v="3"/>
    <x v="1"/>
    <x v="0"/>
    <x v="0"/>
    <x v="0"/>
    <x v="0"/>
    <x v="1"/>
    <x v="0"/>
    <x v="0"/>
  </r>
  <r>
    <x v="410"/>
    <x v="251"/>
    <x v="8"/>
    <x v="20"/>
    <x v="3"/>
    <x v="0"/>
    <x v="0"/>
    <x v="1"/>
    <x v="2"/>
    <x v="1"/>
    <x v="0"/>
    <x v="1"/>
    <x v="0"/>
    <x v="0"/>
    <x v="0"/>
    <x v="0"/>
    <x v="5"/>
  </r>
  <r>
    <x v="411"/>
    <x v="228"/>
    <x v="6"/>
    <x v="51"/>
    <x v="3"/>
    <x v="19"/>
    <x v="1"/>
    <x v="0"/>
    <x v="6"/>
    <x v="0"/>
    <x v="0"/>
    <x v="1"/>
    <x v="0"/>
    <x v="0"/>
    <x v="1"/>
    <x v="0"/>
    <x v="3"/>
  </r>
  <r>
    <x v="412"/>
    <x v="148"/>
    <x v="10"/>
    <x v="34"/>
    <x v="3"/>
    <x v="11"/>
    <x v="0"/>
    <x v="1"/>
    <x v="3"/>
    <x v="1"/>
    <x v="0"/>
    <x v="0"/>
    <x v="0"/>
    <x v="0"/>
    <x v="0"/>
    <x v="0"/>
    <x v="5"/>
  </r>
  <r>
    <x v="413"/>
    <x v="252"/>
    <x v="5"/>
    <x v="48"/>
    <x v="0"/>
    <x v="17"/>
    <x v="0"/>
    <x v="0"/>
    <x v="1"/>
    <x v="0"/>
    <x v="0"/>
    <x v="0"/>
    <x v="0"/>
    <x v="0"/>
    <x v="3"/>
    <x v="0"/>
    <x v="4"/>
  </r>
  <r>
    <x v="414"/>
    <x v="5"/>
    <x v="4"/>
    <x v="5"/>
    <x v="0"/>
    <x v="18"/>
    <x v="1"/>
    <x v="0"/>
    <x v="5"/>
    <x v="1"/>
    <x v="0"/>
    <x v="0"/>
    <x v="0"/>
    <x v="0"/>
    <x v="2"/>
    <x v="0"/>
    <x v="0"/>
  </r>
  <r>
    <x v="415"/>
    <x v="84"/>
    <x v="3"/>
    <x v="4"/>
    <x v="1"/>
    <x v="2"/>
    <x v="0"/>
    <x v="0"/>
    <x v="6"/>
    <x v="0"/>
    <x v="0"/>
    <x v="1"/>
    <x v="0"/>
    <x v="0"/>
    <x v="0"/>
    <x v="0"/>
    <x v="4"/>
  </r>
  <r>
    <x v="416"/>
    <x v="253"/>
    <x v="8"/>
    <x v="39"/>
    <x v="3"/>
    <x v="17"/>
    <x v="1"/>
    <x v="0"/>
    <x v="7"/>
    <x v="0"/>
    <x v="0"/>
    <x v="1"/>
    <x v="0"/>
    <x v="0"/>
    <x v="2"/>
    <x v="0"/>
    <x v="1"/>
  </r>
  <r>
    <x v="417"/>
    <x v="101"/>
    <x v="8"/>
    <x v="38"/>
    <x v="3"/>
    <x v="9"/>
    <x v="4"/>
    <x v="0"/>
    <x v="7"/>
    <x v="1"/>
    <x v="0"/>
    <x v="0"/>
    <x v="0"/>
    <x v="0"/>
    <x v="2"/>
    <x v="0"/>
    <x v="5"/>
  </r>
  <r>
    <x v="418"/>
    <x v="254"/>
    <x v="9"/>
    <x v="15"/>
    <x v="2"/>
    <x v="8"/>
    <x v="0"/>
    <x v="0"/>
    <x v="0"/>
    <x v="0"/>
    <x v="0"/>
    <x v="1"/>
    <x v="0"/>
    <x v="0"/>
    <x v="4"/>
    <x v="0"/>
    <x v="4"/>
  </r>
  <r>
    <x v="419"/>
    <x v="255"/>
    <x v="6"/>
    <x v="22"/>
    <x v="3"/>
    <x v="1"/>
    <x v="1"/>
    <x v="0"/>
    <x v="7"/>
    <x v="1"/>
    <x v="0"/>
    <x v="1"/>
    <x v="0"/>
    <x v="0"/>
    <x v="4"/>
    <x v="1"/>
    <x v="4"/>
  </r>
  <r>
    <x v="420"/>
    <x v="185"/>
    <x v="1"/>
    <x v="1"/>
    <x v="1"/>
    <x v="7"/>
    <x v="3"/>
    <x v="0"/>
    <x v="2"/>
    <x v="0"/>
    <x v="0"/>
    <x v="0"/>
    <x v="0"/>
    <x v="1"/>
    <x v="1"/>
    <x v="0"/>
    <x v="2"/>
  </r>
  <r>
    <x v="421"/>
    <x v="230"/>
    <x v="10"/>
    <x v="28"/>
    <x v="3"/>
    <x v="2"/>
    <x v="4"/>
    <x v="0"/>
    <x v="4"/>
    <x v="1"/>
    <x v="0"/>
    <x v="0"/>
    <x v="0"/>
    <x v="0"/>
    <x v="3"/>
    <x v="0"/>
    <x v="4"/>
  </r>
  <r>
    <x v="422"/>
    <x v="256"/>
    <x v="0"/>
    <x v="0"/>
    <x v="0"/>
    <x v="12"/>
    <x v="2"/>
    <x v="1"/>
    <x v="3"/>
    <x v="0"/>
    <x v="0"/>
    <x v="1"/>
    <x v="0"/>
    <x v="0"/>
    <x v="4"/>
    <x v="0"/>
    <x v="0"/>
  </r>
  <r>
    <x v="423"/>
    <x v="40"/>
    <x v="11"/>
    <x v="31"/>
    <x v="1"/>
    <x v="8"/>
    <x v="4"/>
    <x v="0"/>
    <x v="6"/>
    <x v="1"/>
    <x v="0"/>
    <x v="1"/>
    <x v="0"/>
    <x v="0"/>
    <x v="0"/>
    <x v="0"/>
    <x v="4"/>
  </r>
  <r>
    <x v="424"/>
    <x v="97"/>
    <x v="10"/>
    <x v="28"/>
    <x v="3"/>
    <x v="18"/>
    <x v="2"/>
    <x v="1"/>
    <x v="4"/>
    <x v="1"/>
    <x v="0"/>
    <x v="1"/>
    <x v="0"/>
    <x v="0"/>
    <x v="4"/>
    <x v="0"/>
    <x v="1"/>
  </r>
  <r>
    <x v="425"/>
    <x v="221"/>
    <x v="7"/>
    <x v="27"/>
    <x v="2"/>
    <x v="18"/>
    <x v="2"/>
    <x v="0"/>
    <x v="4"/>
    <x v="0"/>
    <x v="0"/>
    <x v="0"/>
    <x v="0"/>
    <x v="0"/>
    <x v="4"/>
    <x v="0"/>
    <x v="0"/>
  </r>
  <r>
    <x v="426"/>
    <x v="3"/>
    <x v="2"/>
    <x v="3"/>
    <x v="2"/>
    <x v="1"/>
    <x v="0"/>
    <x v="0"/>
    <x v="7"/>
    <x v="0"/>
    <x v="0"/>
    <x v="0"/>
    <x v="0"/>
    <x v="0"/>
    <x v="0"/>
    <x v="0"/>
    <x v="2"/>
  </r>
  <r>
    <x v="427"/>
    <x v="229"/>
    <x v="9"/>
    <x v="50"/>
    <x v="2"/>
    <x v="3"/>
    <x v="1"/>
    <x v="0"/>
    <x v="4"/>
    <x v="1"/>
    <x v="0"/>
    <x v="0"/>
    <x v="0"/>
    <x v="0"/>
    <x v="4"/>
    <x v="0"/>
    <x v="1"/>
  </r>
  <r>
    <x v="428"/>
    <x v="257"/>
    <x v="7"/>
    <x v="27"/>
    <x v="2"/>
    <x v="17"/>
    <x v="0"/>
    <x v="0"/>
    <x v="2"/>
    <x v="1"/>
    <x v="0"/>
    <x v="1"/>
    <x v="0"/>
    <x v="0"/>
    <x v="4"/>
    <x v="0"/>
    <x v="1"/>
  </r>
  <r>
    <x v="429"/>
    <x v="177"/>
    <x v="0"/>
    <x v="16"/>
    <x v="0"/>
    <x v="19"/>
    <x v="4"/>
    <x v="0"/>
    <x v="2"/>
    <x v="1"/>
    <x v="0"/>
    <x v="0"/>
    <x v="0"/>
    <x v="0"/>
    <x v="0"/>
    <x v="0"/>
    <x v="3"/>
  </r>
  <r>
    <x v="430"/>
    <x v="168"/>
    <x v="5"/>
    <x v="48"/>
    <x v="0"/>
    <x v="16"/>
    <x v="4"/>
    <x v="1"/>
    <x v="2"/>
    <x v="0"/>
    <x v="0"/>
    <x v="1"/>
    <x v="0"/>
    <x v="0"/>
    <x v="0"/>
    <x v="0"/>
    <x v="2"/>
  </r>
  <r>
    <x v="431"/>
    <x v="241"/>
    <x v="6"/>
    <x v="52"/>
    <x v="3"/>
    <x v="1"/>
    <x v="1"/>
    <x v="1"/>
    <x v="4"/>
    <x v="0"/>
    <x v="0"/>
    <x v="0"/>
    <x v="0"/>
    <x v="0"/>
    <x v="1"/>
    <x v="0"/>
    <x v="5"/>
  </r>
  <r>
    <x v="432"/>
    <x v="225"/>
    <x v="0"/>
    <x v="0"/>
    <x v="0"/>
    <x v="7"/>
    <x v="3"/>
    <x v="0"/>
    <x v="2"/>
    <x v="0"/>
    <x v="0"/>
    <x v="0"/>
    <x v="0"/>
    <x v="0"/>
    <x v="4"/>
    <x v="0"/>
    <x v="3"/>
  </r>
  <r>
    <x v="433"/>
    <x v="144"/>
    <x v="3"/>
    <x v="4"/>
    <x v="1"/>
    <x v="1"/>
    <x v="0"/>
    <x v="0"/>
    <x v="4"/>
    <x v="1"/>
    <x v="0"/>
    <x v="0"/>
    <x v="0"/>
    <x v="0"/>
    <x v="3"/>
    <x v="0"/>
    <x v="3"/>
  </r>
  <r>
    <x v="434"/>
    <x v="207"/>
    <x v="4"/>
    <x v="10"/>
    <x v="0"/>
    <x v="7"/>
    <x v="4"/>
    <x v="0"/>
    <x v="5"/>
    <x v="0"/>
    <x v="0"/>
    <x v="1"/>
    <x v="0"/>
    <x v="0"/>
    <x v="0"/>
    <x v="0"/>
    <x v="1"/>
  </r>
  <r>
    <x v="435"/>
    <x v="94"/>
    <x v="3"/>
    <x v="14"/>
    <x v="1"/>
    <x v="11"/>
    <x v="3"/>
    <x v="0"/>
    <x v="3"/>
    <x v="0"/>
    <x v="0"/>
    <x v="1"/>
    <x v="0"/>
    <x v="0"/>
    <x v="0"/>
    <x v="0"/>
    <x v="0"/>
  </r>
  <r>
    <x v="436"/>
    <x v="99"/>
    <x v="6"/>
    <x v="8"/>
    <x v="3"/>
    <x v="16"/>
    <x v="3"/>
    <x v="0"/>
    <x v="4"/>
    <x v="0"/>
    <x v="0"/>
    <x v="1"/>
    <x v="1"/>
    <x v="0"/>
    <x v="2"/>
    <x v="1"/>
    <x v="1"/>
  </r>
  <r>
    <x v="437"/>
    <x v="258"/>
    <x v="2"/>
    <x v="44"/>
    <x v="2"/>
    <x v="18"/>
    <x v="2"/>
    <x v="0"/>
    <x v="6"/>
    <x v="1"/>
    <x v="0"/>
    <x v="0"/>
    <x v="0"/>
    <x v="0"/>
    <x v="2"/>
    <x v="0"/>
    <x v="5"/>
  </r>
  <r>
    <x v="438"/>
    <x v="127"/>
    <x v="3"/>
    <x v="45"/>
    <x v="1"/>
    <x v="16"/>
    <x v="3"/>
    <x v="1"/>
    <x v="5"/>
    <x v="0"/>
    <x v="0"/>
    <x v="1"/>
    <x v="0"/>
    <x v="0"/>
    <x v="3"/>
    <x v="0"/>
    <x v="5"/>
  </r>
  <r>
    <x v="439"/>
    <x v="40"/>
    <x v="11"/>
    <x v="31"/>
    <x v="1"/>
    <x v="17"/>
    <x v="4"/>
    <x v="0"/>
    <x v="2"/>
    <x v="0"/>
    <x v="0"/>
    <x v="0"/>
    <x v="0"/>
    <x v="0"/>
    <x v="4"/>
    <x v="1"/>
    <x v="5"/>
  </r>
  <r>
    <x v="440"/>
    <x v="259"/>
    <x v="0"/>
    <x v="9"/>
    <x v="0"/>
    <x v="4"/>
    <x v="0"/>
    <x v="0"/>
    <x v="6"/>
    <x v="0"/>
    <x v="0"/>
    <x v="0"/>
    <x v="0"/>
    <x v="0"/>
    <x v="1"/>
    <x v="0"/>
    <x v="0"/>
  </r>
  <r>
    <x v="441"/>
    <x v="133"/>
    <x v="6"/>
    <x v="51"/>
    <x v="3"/>
    <x v="19"/>
    <x v="3"/>
    <x v="1"/>
    <x v="4"/>
    <x v="1"/>
    <x v="0"/>
    <x v="1"/>
    <x v="1"/>
    <x v="0"/>
    <x v="1"/>
    <x v="0"/>
    <x v="4"/>
  </r>
  <r>
    <x v="442"/>
    <x v="187"/>
    <x v="10"/>
    <x v="33"/>
    <x v="3"/>
    <x v="18"/>
    <x v="0"/>
    <x v="0"/>
    <x v="4"/>
    <x v="0"/>
    <x v="0"/>
    <x v="0"/>
    <x v="0"/>
    <x v="0"/>
    <x v="0"/>
    <x v="0"/>
    <x v="5"/>
  </r>
  <r>
    <x v="443"/>
    <x v="260"/>
    <x v="11"/>
    <x v="35"/>
    <x v="1"/>
    <x v="15"/>
    <x v="3"/>
    <x v="0"/>
    <x v="7"/>
    <x v="0"/>
    <x v="0"/>
    <x v="0"/>
    <x v="0"/>
    <x v="0"/>
    <x v="2"/>
    <x v="0"/>
    <x v="1"/>
  </r>
  <r>
    <x v="444"/>
    <x v="261"/>
    <x v="9"/>
    <x v="21"/>
    <x v="2"/>
    <x v="12"/>
    <x v="0"/>
    <x v="1"/>
    <x v="3"/>
    <x v="0"/>
    <x v="0"/>
    <x v="0"/>
    <x v="0"/>
    <x v="0"/>
    <x v="2"/>
    <x v="0"/>
    <x v="4"/>
  </r>
  <r>
    <x v="445"/>
    <x v="165"/>
    <x v="7"/>
    <x v="43"/>
    <x v="2"/>
    <x v="7"/>
    <x v="2"/>
    <x v="0"/>
    <x v="7"/>
    <x v="1"/>
    <x v="0"/>
    <x v="1"/>
    <x v="0"/>
    <x v="0"/>
    <x v="1"/>
    <x v="0"/>
    <x v="2"/>
  </r>
  <r>
    <x v="446"/>
    <x v="262"/>
    <x v="3"/>
    <x v="14"/>
    <x v="1"/>
    <x v="6"/>
    <x v="0"/>
    <x v="1"/>
    <x v="0"/>
    <x v="1"/>
    <x v="0"/>
    <x v="0"/>
    <x v="0"/>
    <x v="0"/>
    <x v="3"/>
    <x v="0"/>
    <x v="1"/>
  </r>
  <r>
    <x v="447"/>
    <x v="187"/>
    <x v="10"/>
    <x v="33"/>
    <x v="3"/>
    <x v="4"/>
    <x v="3"/>
    <x v="1"/>
    <x v="0"/>
    <x v="0"/>
    <x v="0"/>
    <x v="0"/>
    <x v="0"/>
    <x v="0"/>
    <x v="4"/>
    <x v="0"/>
    <x v="3"/>
  </r>
  <r>
    <x v="448"/>
    <x v="139"/>
    <x v="6"/>
    <x v="52"/>
    <x v="3"/>
    <x v="16"/>
    <x v="4"/>
    <x v="1"/>
    <x v="3"/>
    <x v="0"/>
    <x v="0"/>
    <x v="0"/>
    <x v="0"/>
    <x v="0"/>
    <x v="4"/>
    <x v="1"/>
    <x v="0"/>
  </r>
  <r>
    <x v="449"/>
    <x v="263"/>
    <x v="10"/>
    <x v="25"/>
    <x v="3"/>
    <x v="19"/>
    <x v="0"/>
    <x v="0"/>
    <x v="4"/>
    <x v="1"/>
    <x v="0"/>
    <x v="1"/>
    <x v="0"/>
    <x v="0"/>
    <x v="3"/>
    <x v="0"/>
    <x v="1"/>
  </r>
  <r>
    <x v="450"/>
    <x v="224"/>
    <x v="5"/>
    <x v="48"/>
    <x v="0"/>
    <x v="19"/>
    <x v="2"/>
    <x v="1"/>
    <x v="0"/>
    <x v="0"/>
    <x v="0"/>
    <x v="0"/>
    <x v="0"/>
    <x v="0"/>
    <x v="1"/>
    <x v="0"/>
    <x v="2"/>
  </r>
  <r>
    <x v="451"/>
    <x v="49"/>
    <x v="9"/>
    <x v="32"/>
    <x v="2"/>
    <x v="18"/>
    <x v="1"/>
    <x v="1"/>
    <x v="4"/>
    <x v="1"/>
    <x v="0"/>
    <x v="1"/>
    <x v="0"/>
    <x v="0"/>
    <x v="2"/>
    <x v="0"/>
    <x v="5"/>
  </r>
  <r>
    <x v="452"/>
    <x v="73"/>
    <x v="8"/>
    <x v="38"/>
    <x v="3"/>
    <x v="13"/>
    <x v="4"/>
    <x v="1"/>
    <x v="4"/>
    <x v="1"/>
    <x v="0"/>
    <x v="0"/>
    <x v="0"/>
    <x v="0"/>
    <x v="4"/>
    <x v="0"/>
    <x v="5"/>
  </r>
  <r>
    <x v="453"/>
    <x v="152"/>
    <x v="9"/>
    <x v="32"/>
    <x v="2"/>
    <x v="0"/>
    <x v="0"/>
    <x v="1"/>
    <x v="5"/>
    <x v="0"/>
    <x v="0"/>
    <x v="1"/>
    <x v="0"/>
    <x v="0"/>
    <x v="3"/>
    <x v="0"/>
    <x v="2"/>
  </r>
  <r>
    <x v="454"/>
    <x v="264"/>
    <x v="10"/>
    <x v="28"/>
    <x v="3"/>
    <x v="17"/>
    <x v="3"/>
    <x v="0"/>
    <x v="2"/>
    <x v="1"/>
    <x v="0"/>
    <x v="0"/>
    <x v="0"/>
    <x v="0"/>
    <x v="3"/>
    <x v="0"/>
    <x v="3"/>
  </r>
  <r>
    <x v="455"/>
    <x v="265"/>
    <x v="6"/>
    <x v="22"/>
    <x v="3"/>
    <x v="19"/>
    <x v="4"/>
    <x v="1"/>
    <x v="1"/>
    <x v="0"/>
    <x v="0"/>
    <x v="1"/>
    <x v="0"/>
    <x v="0"/>
    <x v="0"/>
    <x v="0"/>
    <x v="5"/>
  </r>
  <r>
    <x v="456"/>
    <x v="266"/>
    <x v="3"/>
    <x v="45"/>
    <x v="1"/>
    <x v="19"/>
    <x v="3"/>
    <x v="1"/>
    <x v="6"/>
    <x v="0"/>
    <x v="0"/>
    <x v="0"/>
    <x v="0"/>
    <x v="0"/>
    <x v="3"/>
    <x v="0"/>
    <x v="0"/>
  </r>
  <r>
    <x v="457"/>
    <x v="224"/>
    <x v="5"/>
    <x v="48"/>
    <x v="0"/>
    <x v="17"/>
    <x v="3"/>
    <x v="0"/>
    <x v="2"/>
    <x v="1"/>
    <x v="0"/>
    <x v="0"/>
    <x v="0"/>
    <x v="0"/>
    <x v="4"/>
    <x v="1"/>
    <x v="1"/>
  </r>
  <r>
    <x v="458"/>
    <x v="62"/>
    <x v="6"/>
    <x v="19"/>
    <x v="3"/>
    <x v="12"/>
    <x v="4"/>
    <x v="0"/>
    <x v="5"/>
    <x v="0"/>
    <x v="0"/>
    <x v="1"/>
    <x v="0"/>
    <x v="0"/>
    <x v="3"/>
    <x v="0"/>
    <x v="0"/>
  </r>
  <r>
    <x v="459"/>
    <x v="106"/>
    <x v="5"/>
    <x v="48"/>
    <x v="0"/>
    <x v="16"/>
    <x v="2"/>
    <x v="1"/>
    <x v="3"/>
    <x v="1"/>
    <x v="0"/>
    <x v="0"/>
    <x v="0"/>
    <x v="0"/>
    <x v="3"/>
    <x v="1"/>
    <x v="4"/>
  </r>
  <r>
    <x v="460"/>
    <x v="235"/>
    <x v="8"/>
    <x v="13"/>
    <x v="3"/>
    <x v="1"/>
    <x v="1"/>
    <x v="1"/>
    <x v="3"/>
    <x v="1"/>
    <x v="0"/>
    <x v="1"/>
    <x v="0"/>
    <x v="0"/>
    <x v="2"/>
    <x v="1"/>
    <x v="3"/>
  </r>
  <r>
    <x v="461"/>
    <x v="145"/>
    <x v="0"/>
    <x v="16"/>
    <x v="0"/>
    <x v="12"/>
    <x v="1"/>
    <x v="0"/>
    <x v="0"/>
    <x v="1"/>
    <x v="0"/>
    <x v="0"/>
    <x v="0"/>
    <x v="0"/>
    <x v="0"/>
    <x v="0"/>
    <x v="3"/>
  </r>
  <r>
    <x v="462"/>
    <x v="24"/>
    <x v="6"/>
    <x v="19"/>
    <x v="3"/>
    <x v="16"/>
    <x v="0"/>
    <x v="1"/>
    <x v="6"/>
    <x v="0"/>
    <x v="0"/>
    <x v="0"/>
    <x v="0"/>
    <x v="0"/>
    <x v="3"/>
    <x v="0"/>
    <x v="0"/>
  </r>
  <r>
    <x v="463"/>
    <x v="243"/>
    <x v="2"/>
    <x v="3"/>
    <x v="2"/>
    <x v="19"/>
    <x v="4"/>
    <x v="0"/>
    <x v="4"/>
    <x v="1"/>
    <x v="0"/>
    <x v="1"/>
    <x v="0"/>
    <x v="0"/>
    <x v="3"/>
    <x v="1"/>
    <x v="1"/>
  </r>
  <r>
    <x v="464"/>
    <x v="262"/>
    <x v="3"/>
    <x v="14"/>
    <x v="1"/>
    <x v="4"/>
    <x v="4"/>
    <x v="0"/>
    <x v="6"/>
    <x v="1"/>
    <x v="0"/>
    <x v="0"/>
    <x v="0"/>
    <x v="0"/>
    <x v="4"/>
    <x v="0"/>
    <x v="1"/>
  </r>
  <r>
    <x v="465"/>
    <x v="111"/>
    <x v="0"/>
    <x v="16"/>
    <x v="0"/>
    <x v="6"/>
    <x v="1"/>
    <x v="0"/>
    <x v="3"/>
    <x v="0"/>
    <x v="0"/>
    <x v="0"/>
    <x v="0"/>
    <x v="0"/>
    <x v="0"/>
    <x v="1"/>
    <x v="0"/>
  </r>
  <r>
    <x v="466"/>
    <x v="92"/>
    <x v="1"/>
    <x v="12"/>
    <x v="1"/>
    <x v="16"/>
    <x v="2"/>
    <x v="0"/>
    <x v="2"/>
    <x v="1"/>
    <x v="0"/>
    <x v="1"/>
    <x v="0"/>
    <x v="0"/>
    <x v="4"/>
    <x v="0"/>
    <x v="4"/>
  </r>
  <r>
    <x v="467"/>
    <x v="267"/>
    <x v="9"/>
    <x v="15"/>
    <x v="2"/>
    <x v="14"/>
    <x v="2"/>
    <x v="0"/>
    <x v="3"/>
    <x v="1"/>
    <x v="0"/>
    <x v="1"/>
    <x v="0"/>
    <x v="0"/>
    <x v="1"/>
    <x v="0"/>
    <x v="4"/>
  </r>
  <r>
    <x v="468"/>
    <x v="88"/>
    <x v="4"/>
    <x v="24"/>
    <x v="0"/>
    <x v="9"/>
    <x v="0"/>
    <x v="0"/>
    <x v="3"/>
    <x v="0"/>
    <x v="0"/>
    <x v="0"/>
    <x v="0"/>
    <x v="0"/>
    <x v="3"/>
    <x v="0"/>
    <x v="3"/>
  </r>
  <r>
    <x v="469"/>
    <x v="182"/>
    <x v="11"/>
    <x v="35"/>
    <x v="1"/>
    <x v="18"/>
    <x v="4"/>
    <x v="0"/>
    <x v="2"/>
    <x v="1"/>
    <x v="0"/>
    <x v="1"/>
    <x v="0"/>
    <x v="0"/>
    <x v="3"/>
    <x v="0"/>
    <x v="5"/>
  </r>
  <r>
    <x v="470"/>
    <x v="116"/>
    <x v="3"/>
    <x v="17"/>
    <x v="1"/>
    <x v="9"/>
    <x v="3"/>
    <x v="1"/>
    <x v="1"/>
    <x v="1"/>
    <x v="0"/>
    <x v="0"/>
    <x v="0"/>
    <x v="0"/>
    <x v="3"/>
    <x v="0"/>
    <x v="0"/>
  </r>
  <r>
    <x v="471"/>
    <x v="155"/>
    <x v="6"/>
    <x v="22"/>
    <x v="3"/>
    <x v="16"/>
    <x v="4"/>
    <x v="0"/>
    <x v="0"/>
    <x v="1"/>
    <x v="0"/>
    <x v="0"/>
    <x v="0"/>
    <x v="0"/>
    <x v="1"/>
    <x v="0"/>
    <x v="1"/>
  </r>
  <r>
    <x v="472"/>
    <x v="93"/>
    <x v="3"/>
    <x v="45"/>
    <x v="1"/>
    <x v="13"/>
    <x v="3"/>
    <x v="0"/>
    <x v="3"/>
    <x v="1"/>
    <x v="0"/>
    <x v="0"/>
    <x v="0"/>
    <x v="0"/>
    <x v="0"/>
    <x v="1"/>
    <x v="0"/>
  </r>
  <r>
    <x v="473"/>
    <x v="268"/>
    <x v="9"/>
    <x v="50"/>
    <x v="2"/>
    <x v="4"/>
    <x v="3"/>
    <x v="0"/>
    <x v="1"/>
    <x v="0"/>
    <x v="0"/>
    <x v="1"/>
    <x v="0"/>
    <x v="0"/>
    <x v="3"/>
    <x v="0"/>
    <x v="1"/>
  </r>
  <r>
    <x v="474"/>
    <x v="220"/>
    <x v="5"/>
    <x v="26"/>
    <x v="0"/>
    <x v="17"/>
    <x v="2"/>
    <x v="0"/>
    <x v="3"/>
    <x v="0"/>
    <x v="0"/>
    <x v="1"/>
    <x v="0"/>
    <x v="0"/>
    <x v="1"/>
    <x v="0"/>
    <x v="2"/>
  </r>
  <r>
    <x v="475"/>
    <x v="269"/>
    <x v="11"/>
    <x v="35"/>
    <x v="1"/>
    <x v="8"/>
    <x v="3"/>
    <x v="0"/>
    <x v="3"/>
    <x v="0"/>
    <x v="0"/>
    <x v="1"/>
    <x v="0"/>
    <x v="0"/>
    <x v="4"/>
    <x v="0"/>
    <x v="2"/>
  </r>
  <r>
    <x v="476"/>
    <x v="138"/>
    <x v="4"/>
    <x v="23"/>
    <x v="0"/>
    <x v="4"/>
    <x v="2"/>
    <x v="0"/>
    <x v="0"/>
    <x v="1"/>
    <x v="0"/>
    <x v="1"/>
    <x v="1"/>
    <x v="0"/>
    <x v="1"/>
    <x v="0"/>
    <x v="5"/>
  </r>
  <r>
    <x v="477"/>
    <x v="226"/>
    <x v="6"/>
    <x v="22"/>
    <x v="3"/>
    <x v="1"/>
    <x v="1"/>
    <x v="0"/>
    <x v="5"/>
    <x v="0"/>
    <x v="0"/>
    <x v="0"/>
    <x v="0"/>
    <x v="0"/>
    <x v="3"/>
    <x v="0"/>
    <x v="2"/>
  </r>
  <r>
    <x v="478"/>
    <x v="164"/>
    <x v="5"/>
    <x v="7"/>
    <x v="0"/>
    <x v="12"/>
    <x v="4"/>
    <x v="0"/>
    <x v="1"/>
    <x v="1"/>
    <x v="0"/>
    <x v="0"/>
    <x v="0"/>
    <x v="0"/>
    <x v="1"/>
    <x v="0"/>
    <x v="2"/>
  </r>
  <r>
    <x v="479"/>
    <x v="270"/>
    <x v="4"/>
    <x v="46"/>
    <x v="0"/>
    <x v="4"/>
    <x v="4"/>
    <x v="0"/>
    <x v="5"/>
    <x v="1"/>
    <x v="0"/>
    <x v="0"/>
    <x v="0"/>
    <x v="0"/>
    <x v="3"/>
    <x v="0"/>
    <x v="1"/>
  </r>
  <r>
    <x v="480"/>
    <x v="154"/>
    <x v="10"/>
    <x v="51"/>
    <x v="3"/>
    <x v="1"/>
    <x v="2"/>
    <x v="1"/>
    <x v="6"/>
    <x v="0"/>
    <x v="0"/>
    <x v="0"/>
    <x v="0"/>
    <x v="0"/>
    <x v="3"/>
    <x v="0"/>
    <x v="0"/>
  </r>
  <r>
    <x v="481"/>
    <x v="161"/>
    <x v="0"/>
    <x v="0"/>
    <x v="0"/>
    <x v="11"/>
    <x v="2"/>
    <x v="1"/>
    <x v="1"/>
    <x v="1"/>
    <x v="0"/>
    <x v="0"/>
    <x v="0"/>
    <x v="0"/>
    <x v="2"/>
    <x v="0"/>
    <x v="2"/>
  </r>
  <r>
    <x v="482"/>
    <x v="73"/>
    <x v="8"/>
    <x v="38"/>
    <x v="3"/>
    <x v="16"/>
    <x v="2"/>
    <x v="1"/>
    <x v="6"/>
    <x v="1"/>
    <x v="0"/>
    <x v="0"/>
    <x v="0"/>
    <x v="0"/>
    <x v="1"/>
    <x v="0"/>
    <x v="2"/>
  </r>
  <r>
    <x v="483"/>
    <x v="271"/>
    <x v="9"/>
    <x v="21"/>
    <x v="2"/>
    <x v="2"/>
    <x v="1"/>
    <x v="0"/>
    <x v="6"/>
    <x v="1"/>
    <x v="0"/>
    <x v="1"/>
    <x v="0"/>
    <x v="0"/>
    <x v="4"/>
    <x v="0"/>
    <x v="5"/>
  </r>
  <r>
    <x v="484"/>
    <x v="227"/>
    <x v="6"/>
    <x v="8"/>
    <x v="3"/>
    <x v="17"/>
    <x v="1"/>
    <x v="0"/>
    <x v="4"/>
    <x v="0"/>
    <x v="0"/>
    <x v="1"/>
    <x v="0"/>
    <x v="0"/>
    <x v="2"/>
    <x v="0"/>
    <x v="3"/>
  </r>
  <r>
    <x v="485"/>
    <x v="201"/>
    <x v="5"/>
    <x v="48"/>
    <x v="0"/>
    <x v="1"/>
    <x v="0"/>
    <x v="0"/>
    <x v="5"/>
    <x v="0"/>
    <x v="0"/>
    <x v="0"/>
    <x v="0"/>
    <x v="0"/>
    <x v="1"/>
    <x v="0"/>
    <x v="5"/>
  </r>
  <r>
    <x v="486"/>
    <x v="85"/>
    <x v="2"/>
    <x v="2"/>
    <x v="2"/>
    <x v="10"/>
    <x v="1"/>
    <x v="0"/>
    <x v="6"/>
    <x v="0"/>
    <x v="0"/>
    <x v="0"/>
    <x v="0"/>
    <x v="0"/>
    <x v="2"/>
    <x v="0"/>
    <x v="0"/>
  </r>
  <r>
    <x v="487"/>
    <x v="272"/>
    <x v="3"/>
    <x v="14"/>
    <x v="1"/>
    <x v="15"/>
    <x v="0"/>
    <x v="0"/>
    <x v="4"/>
    <x v="0"/>
    <x v="0"/>
    <x v="0"/>
    <x v="0"/>
    <x v="0"/>
    <x v="3"/>
    <x v="0"/>
    <x v="1"/>
  </r>
  <r>
    <x v="488"/>
    <x v="65"/>
    <x v="4"/>
    <x v="5"/>
    <x v="0"/>
    <x v="15"/>
    <x v="4"/>
    <x v="0"/>
    <x v="0"/>
    <x v="1"/>
    <x v="0"/>
    <x v="0"/>
    <x v="0"/>
    <x v="0"/>
    <x v="3"/>
    <x v="0"/>
    <x v="5"/>
  </r>
  <r>
    <x v="489"/>
    <x v="60"/>
    <x v="8"/>
    <x v="38"/>
    <x v="3"/>
    <x v="15"/>
    <x v="4"/>
    <x v="0"/>
    <x v="4"/>
    <x v="1"/>
    <x v="0"/>
    <x v="1"/>
    <x v="0"/>
    <x v="0"/>
    <x v="0"/>
    <x v="0"/>
    <x v="2"/>
  </r>
  <r>
    <x v="490"/>
    <x v="254"/>
    <x v="9"/>
    <x v="15"/>
    <x v="2"/>
    <x v="2"/>
    <x v="4"/>
    <x v="1"/>
    <x v="6"/>
    <x v="1"/>
    <x v="0"/>
    <x v="0"/>
    <x v="0"/>
    <x v="0"/>
    <x v="2"/>
    <x v="0"/>
    <x v="4"/>
  </r>
  <r>
    <x v="491"/>
    <x v="126"/>
    <x v="2"/>
    <x v="44"/>
    <x v="2"/>
    <x v="7"/>
    <x v="3"/>
    <x v="1"/>
    <x v="4"/>
    <x v="1"/>
    <x v="0"/>
    <x v="0"/>
    <x v="0"/>
    <x v="0"/>
    <x v="0"/>
    <x v="0"/>
    <x v="2"/>
  </r>
  <r>
    <x v="492"/>
    <x v="171"/>
    <x v="3"/>
    <x v="4"/>
    <x v="1"/>
    <x v="10"/>
    <x v="3"/>
    <x v="0"/>
    <x v="6"/>
    <x v="0"/>
    <x v="0"/>
    <x v="1"/>
    <x v="0"/>
    <x v="0"/>
    <x v="2"/>
    <x v="0"/>
    <x v="5"/>
  </r>
  <r>
    <x v="493"/>
    <x v="42"/>
    <x v="9"/>
    <x v="32"/>
    <x v="2"/>
    <x v="17"/>
    <x v="4"/>
    <x v="1"/>
    <x v="7"/>
    <x v="1"/>
    <x v="0"/>
    <x v="1"/>
    <x v="0"/>
    <x v="0"/>
    <x v="2"/>
    <x v="1"/>
    <x v="1"/>
  </r>
  <r>
    <x v="494"/>
    <x v="79"/>
    <x v="5"/>
    <x v="41"/>
    <x v="0"/>
    <x v="10"/>
    <x v="3"/>
    <x v="0"/>
    <x v="3"/>
    <x v="1"/>
    <x v="0"/>
    <x v="0"/>
    <x v="0"/>
    <x v="0"/>
    <x v="3"/>
    <x v="0"/>
    <x v="5"/>
  </r>
  <r>
    <x v="495"/>
    <x v="208"/>
    <x v="9"/>
    <x v="49"/>
    <x v="2"/>
    <x v="3"/>
    <x v="4"/>
    <x v="0"/>
    <x v="0"/>
    <x v="0"/>
    <x v="0"/>
    <x v="0"/>
    <x v="0"/>
    <x v="0"/>
    <x v="0"/>
    <x v="0"/>
    <x v="2"/>
  </r>
  <r>
    <x v="496"/>
    <x v="153"/>
    <x v="4"/>
    <x v="10"/>
    <x v="0"/>
    <x v="8"/>
    <x v="3"/>
    <x v="0"/>
    <x v="2"/>
    <x v="1"/>
    <x v="0"/>
    <x v="1"/>
    <x v="0"/>
    <x v="0"/>
    <x v="1"/>
    <x v="0"/>
    <x v="3"/>
  </r>
  <r>
    <x v="497"/>
    <x v="273"/>
    <x v="2"/>
    <x v="18"/>
    <x v="2"/>
    <x v="16"/>
    <x v="2"/>
    <x v="0"/>
    <x v="6"/>
    <x v="0"/>
    <x v="0"/>
    <x v="1"/>
    <x v="0"/>
    <x v="0"/>
    <x v="2"/>
    <x v="0"/>
    <x v="4"/>
  </r>
  <r>
    <x v="498"/>
    <x v="213"/>
    <x v="10"/>
    <x v="28"/>
    <x v="3"/>
    <x v="3"/>
    <x v="4"/>
    <x v="0"/>
    <x v="3"/>
    <x v="0"/>
    <x v="0"/>
    <x v="1"/>
    <x v="0"/>
    <x v="0"/>
    <x v="0"/>
    <x v="0"/>
    <x v="5"/>
  </r>
  <r>
    <x v="499"/>
    <x v="260"/>
    <x v="11"/>
    <x v="35"/>
    <x v="1"/>
    <x v="17"/>
    <x v="2"/>
    <x v="0"/>
    <x v="5"/>
    <x v="1"/>
    <x v="0"/>
    <x v="0"/>
    <x v="0"/>
    <x v="0"/>
    <x v="3"/>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029B54-D54C-40C7-BAF2-F7912E80A1CD}" name="PivotTable11" cacheId="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6:E37" firstHeaderRow="1" firstDataRow="1" firstDataCol="0"/>
  <pivotFields count="17">
    <pivotField showAll="0"/>
    <pivotField numFmtId="15" showAll="0"/>
    <pivotField showAll="0">
      <items count="13">
        <item x="3"/>
        <item x="11"/>
        <item x="1"/>
        <item x="4"/>
        <item x="5"/>
        <item x="0"/>
        <item x="6"/>
        <item x="10"/>
        <item x="8"/>
        <item x="2"/>
        <item x="9"/>
        <item x="7"/>
        <item t="default"/>
      </items>
    </pivotField>
    <pivotField showAll="0"/>
    <pivotField showAll="0"/>
    <pivotField showAll="0">
      <items count="21">
        <item x="7"/>
        <item x="6"/>
        <item x="15"/>
        <item x="19"/>
        <item x="17"/>
        <item x="5"/>
        <item x="18"/>
        <item x="10"/>
        <item x="12"/>
        <item x="2"/>
        <item x="1"/>
        <item x="0"/>
        <item x="8"/>
        <item x="3"/>
        <item x="14"/>
        <item x="13"/>
        <item x="16"/>
        <item x="4"/>
        <item x="9"/>
        <item x="11"/>
        <item t="default"/>
      </items>
    </pivotField>
    <pivotField showAll="0">
      <items count="6">
        <item x="0"/>
        <item x="2"/>
        <item x="3"/>
        <item x="1"/>
        <item x="4"/>
        <item t="default"/>
      </items>
    </pivotField>
    <pivotField showAll="0"/>
    <pivotField showAll="0">
      <items count="9">
        <item x="7"/>
        <item x="1"/>
        <item x="4"/>
        <item x="6"/>
        <item x="0"/>
        <item x="3"/>
        <item x="2"/>
        <item x="5"/>
        <item t="default"/>
      </items>
    </pivotField>
    <pivotField showAll="0"/>
    <pivotField showAll="0"/>
    <pivotField showAll="0"/>
    <pivotField showAll="0"/>
    <pivotField showAll="0"/>
    <pivotField dataField="1" showAll="0"/>
    <pivotField showAll="0"/>
    <pivotField numFmtId="9" showAll="0"/>
  </pivotFields>
  <rowItems count="1">
    <i/>
  </rowItems>
  <colItems count="1">
    <i/>
  </colItems>
  <dataFields count="1">
    <dataField name="Average of HANDLE_TIME" fld="1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EF5B45-D0FD-4959-8CBF-84ABC0E65064}" name="PivotTable10" cacheId="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29:F32" firstHeaderRow="1" firstDataRow="1" firstDataCol="1"/>
  <pivotFields count="17">
    <pivotField showAll="0"/>
    <pivotField numFmtId="15" showAll="0"/>
    <pivotField showAll="0">
      <items count="13">
        <item x="3"/>
        <item x="11"/>
        <item x="1"/>
        <item x="4"/>
        <item x="5"/>
        <item x="0"/>
        <item x="6"/>
        <item x="10"/>
        <item x="8"/>
        <item x="2"/>
        <item x="9"/>
        <item x="7"/>
        <item t="default"/>
      </items>
    </pivotField>
    <pivotField showAll="0"/>
    <pivotField showAll="0"/>
    <pivotField showAll="0">
      <items count="21">
        <item x="7"/>
        <item x="6"/>
        <item x="15"/>
        <item x="19"/>
        <item x="17"/>
        <item x="5"/>
        <item x="18"/>
        <item x="10"/>
        <item x="12"/>
        <item x="2"/>
        <item x="1"/>
        <item x="0"/>
        <item x="8"/>
        <item x="3"/>
        <item x="14"/>
        <item x="13"/>
        <item x="16"/>
        <item x="4"/>
        <item x="9"/>
        <item x="11"/>
        <item t="default"/>
      </items>
    </pivotField>
    <pivotField showAll="0">
      <items count="6">
        <item x="0"/>
        <item x="2"/>
        <item x="3"/>
        <item x="1"/>
        <item x="4"/>
        <item t="default"/>
      </items>
    </pivotField>
    <pivotField showAll="0"/>
    <pivotField showAll="0">
      <items count="9">
        <item x="7"/>
        <item x="1"/>
        <item x="4"/>
        <item x="6"/>
        <item x="0"/>
        <item x="3"/>
        <item x="2"/>
        <item x="5"/>
        <item t="default"/>
      </items>
    </pivotField>
    <pivotField showAll="0"/>
    <pivotField dataField="1" showAll="0"/>
    <pivotField showAll="0"/>
    <pivotField axis="axisRow" showAll="0">
      <items count="3">
        <item x="1"/>
        <item x="0"/>
        <item t="default"/>
      </items>
    </pivotField>
    <pivotField showAll="0"/>
    <pivotField showAll="0"/>
    <pivotField showAll="0"/>
    <pivotField numFmtId="9" showAll="0"/>
  </pivotFields>
  <rowFields count="1">
    <field x="12"/>
  </rowFields>
  <rowItems count="3">
    <i>
      <x/>
    </i>
    <i>
      <x v="1"/>
    </i>
    <i t="grand">
      <x/>
    </i>
  </rowItems>
  <colItems count="1">
    <i/>
  </colItems>
  <dataFields count="1">
    <dataField name="Sum of CASE_HANDLED" fld="10"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2" count="1" selected="0">
            <x v="0"/>
          </reference>
        </references>
      </pivotArea>
    </chartFormat>
    <chartFormat chart="3" format="6">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CC3E04-30B4-4BF6-8D34-1DA5E0E53E06}" name="PivotTable9" cacheId="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3:E24" firstHeaderRow="1" firstDataRow="1" firstDataCol="0"/>
  <pivotFields count="17">
    <pivotField showAll="0"/>
    <pivotField numFmtId="15" showAll="0"/>
    <pivotField showAll="0">
      <items count="13">
        <item x="3"/>
        <item x="11"/>
        <item x="1"/>
        <item x="4"/>
        <item x="5"/>
        <item x="0"/>
        <item x="6"/>
        <item x="10"/>
        <item x="8"/>
        <item x="2"/>
        <item x="9"/>
        <item x="7"/>
        <item t="default"/>
      </items>
    </pivotField>
    <pivotField showAll="0"/>
    <pivotField showAll="0"/>
    <pivotField showAll="0">
      <items count="21">
        <item x="7"/>
        <item x="6"/>
        <item x="15"/>
        <item x="19"/>
        <item x="17"/>
        <item x="5"/>
        <item x="18"/>
        <item x="10"/>
        <item x="12"/>
        <item x="2"/>
        <item x="1"/>
        <item x="0"/>
        <item x="8"/>
        <item x="3"/>
        <item x="14"/>
        <item x="13"/>
        <item x="16"/>
        <item x="4"/>
        <item x="9"/>
        <item x="11"/>
        <item t="default"/>
      </items>
    </pivotField>
    <pivotField showAll="0">
      <items count="6">
        <item x="0"/>
        <item x="2"/>
        <item x="3"/>
        <item x="1"/>
        <item x="4"/>
        <item t="default"/>
      </items>
    </pivotField>
    <pivotField showAll="0"/>
    <pivotField showAll="0">
      <items count="9">
        <item x="7"/>
        <item x="1"/>
        <item x="4"/>
        <item x="6"/>
        <item x="0"/>
        <item x="3"/>
        <item x="2"/>
        <item x="5"/>
        <item t="default"/>
      </items>
    </pivotField>
    <pivotField showAll="0"/>
    <pivotField dataField="1" showAll="0"/>
    <pivotField showAll="0"/>
    <pivotField showAll="0"/>
    <pivotField showAll="0"/>
    <pivotField showAll="0"/>
    <pivotField showAll="0"/>
    <pivotField numFmtId="9" showAll="0"/>
  </pivotFields>
  <rowItems count="1">
    <i/>
  </rowItems>
  <colItems count="1">
    <i/>
  </colItems>
  <dataFields count="1">
    <dataField name="Average of CASE_HANDLED" fld="1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CD8472-E24F-4048-BEFA-4589D24754C5}" name="PivotTable8" cacheId="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5:E16" firstHeaderRow="1" firstDataRow="1" firstDataCol="0"/>
  <pivotFields count="17">
    <pivotField showAll="0"/>
    <pivotField numFmtId="15" showAll="0"/>
    <pivotField showAll="0">
      <items count="13">
        <item x="3"/>
        <item x="11"/>
        <item x="1"/>
        <item x="4"/>
        <item x="5"/>
        <item x="0"/>
        <item x="6"/>
        <item x="10"/>
        <item x="8"/>
        <item x="2"/>
        <item x="9"/>
        <item x="7"/>
        <item t="default"/>
      </items>
    </pivotField>
    <pivotField showAll="0"/>
    <pivotField showAll="0"/>
    <pivotField dataField="1" showAll="0">
      <items count="21">
        <item x="7"/>
        <item x="6"/>
        <item x="15"/>
        <item x="19"/>
        <item x="17"/>
        <item x="5"/>
        <item x="18"/>
        <item x="10"/>
        <item x="12"/>
        <item x="2"/>
        <item x="1"/>
        <item x="0"/>
        <item x="8"/>
        <item x="3"/>
        <item x="14"/>
        <item x="13"/>
        <item x="16"/>
        <item x="4"/>
        <item x="9"/>
        <item x="11"/>
        <item t="default"/>
      </items>
    </pivotField>
    <pivotField showAll="0">
      <items count="6">
        <item x="0"/>
        <item x="2"/>
        <item x="3"/>
        <item x="1"/>
        <item x="4"/>
        <item t="default"/>
      </items>
    </pivotField>
    <pivotField showAll="0"/>
    <pivotField showAll="0">
      <items count="9">
        <item x="7"/>
        <item x="1"/>
        <item x="4"/>
        <item x="6"/>
        <item x="0"/>
        <item x="3"/>
        <item x="2"/>
        <item x="5"/>
        <item t="default"/>
      </items>
    </pivotField>
    <pivotField showAll="0"/>
    <pivotField showAll="0"/>
    <pivotField showAll="0"/>
    <pivotField showAll="0"/>
    <pivotField showAll="0"/>
    <pivotField showAll="0"/>
    <pivotField showAll="0"/>
    <pivotField numFmtId="9" showAll="0"/>
  </pivotFields>
  <rowItems count="1">
    <i/>
  </rowItems>
  <colItems count="1">
    <i/>
  </colItems>
  <dataFields count="1">
    <dataField name="Count of INVESTIGATOR"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B3F8AA-F779-4D69-AFD2-85D6D92B9854}" name="PivotTable7" cacheId="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9:E10" firstHeaderRow="1" firstDataRow="1" firstDataCol="0"/>
  <pivotFields count="17">
    <pivotField showAll="0"/>
    <pivotField numFmtId="15" showAll="0"/>
    <pivotField showAll="0">
      <items count="13">
        <item x="3"/>
        <item x="11"/>
        <item x="1"/>
        <item x="4"/>
        <item x="5"/>
        <item x="0"/>
        <item x="6"/>
        <item x="10"/>
        <item x="8"/>
        <item x="2"/>
        <item x="9"/>
        <item x="7"/>
        <item t="default"/>
      </items>
    </pivotField>
    <pivotField showAll="0"/>
    <pivotField showAll="0"/>
    <pivotField showAll="0">
      <items count="21">
        <item x="7"/>
        <item x="6"/>
        <item x="15"/>
        <item x="19"/>
        <item x="17"/>
        <item x="5"/>
        <item x="18"/>
        <item x="10"/>
        <item x="12"/>
        <item x="2"/>
        <item x="1"/>
        <item x="0"/>
        <item x="8"/>
        <item x="3"/>
        <item x="14"/>
        <item x="13"/>
        <item x="16"/>
        <item x="4"/>
        <item x="9"/>
        <item x="11"/>
        <item t="default"/>
      </items>
    </pivotField>
    <pivotField showAll="0">
      <items count="6">
        <item x="0"/>
        <item x="2"/>
        <item x="3"/>
        <item x="1"/>
        <item x="4"/>
        <item t="default"/>
      </items>
    </pivotField>
    <pivotField showAll="0"/>
    <pivotField showAll="0">
      <items count="9">
        <item x="7"/>
        <item x="1"/>
        <item x="4"/>
        <item x="6"/>
        <item x="0"/>
        <item x="3"/>
        <item x="2"/>
        <item x="5"/>
        <item t="default"/>
      </items>
    </pivotField>
    <pivotField showAll="0"/>
    <pivotField dataField="1" showAll="0"/>
    <pivotField showAll="0"/>
    <pivotField showAll="0"/>
    <pivotField showAll="0"/>
    <pivotField showAll="0"/>
    <pivotField showAll="0"/>
    <pivotField numFmtId="9" showAll="0"/>
  </pivotFields>
  <rowItems count="1">
    <i/>
  </rowItems>
  <colItems count="1">
    <i/>
  </colItems>
  <dataFields count="1">
    <dataField name="Sum of CASE_HANDLED"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2834AF-F560-4602-8168-03A8120274A2}" name="PivotTable6" cacheId="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E2" firstHeaderRow="1" firstDataRow="1" firstDataCol="0"/>
  <pivotFields count="17">
    <pivotField showAll="0"/>
    <pivotField numFmtId="15" showAll="0"/>
    <pivotField showAll="0">
      <items count="13">
        <item x="3"/>
        <item x="11"/>
        <item x="1"/>
        <item x="4"/>
        <item x="5"/>
        <item x="0"/>
        <item x="6"/>
        <item x="10"/>
        <item x="8"/>
        <item x="2"/>
        <item x="9"/>
        <item x="7"/>
        <item t="default"/>
      </items>
    </pivotField>
    <pivotField showAll="0"/>
    <pivotField showAll="0"/>
    <pivotField showAll="0">
      <items count="21">
        <item x="7"/>
        <item x="6"/>
        <item x="15"/>
        <item x="19"/>
        <item x="17"/>
        <item x="5"/>
        <item x="18"/>
        <item x="10"/>
        <item x="12"/>
        <item x="2"/>
        <item x="1"/>
        <item x="0"/>
        <item x="8"/>
        <item x="3"/>
        <item x="14"/>
        <item x="13"/>
        <item x="16"/>
        <item x="4"/>
        <item x="9"/>
        <item x="11"/>
        <item t="default"/>
      </items>
    </pivotField>
    <pivotField showAll="0"/>
    <pivotField showAll="0"/>
    <pivotField showAll="0"/>
    <pivotField showAll="0"/>
    <pivotField showAll="0"/>
    <pivotField showAll="0"/>
    <pivotField showAll="0"/>
    <pivotField showAll="0"/>
    <pivotField showAll="0"/>
    <pivotField showAll="0"/>
    <pivotField dataField="1" numFmtId="9" showAll="0"/>
  </pivotFields>
  <rowItems count="1">
    <i/>
  </rowItems>
  <colItems count="1">
    <i/>
  </colItems>
  <dataFields count="1">
    <dataField name="Average of QUALITY_SCORE" fld="16" subtotal="average"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077254A-1545-4D67-B931-1086584F9161}" name="PivotTable5" cacheId="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4:B67" firstHeaderRow="1" firstDataRow="1" firstDataCol="1"/>
  <pivotFields count="17">
    <pivotField showAll="0"/>
    <pivotField numFmtId="15" showAll="0"/>
    <pivotField showAll="0">
      <items count="13">
        <item x="3"/>
        <item x="11"/>
        <item x="1"/>
        <item x="4"/>
        <item x="5"/>
        <item x="0"/>
        <item x="6"/>
        <item x="10"/>
        <item x="8"/>
        <item x="2"/>
        <item x="9"/>
        <item x="7"/>
        <item t="default"/>
      </items>
    </pivotField>
    <pivotField showAll="0"/>
    <pivotField showAll="0"/>
    <pivotField showAll="0">
      <items count="21">
        <item x="7"/>
        <item x="6"/>
        <item x="15"/>
        <item x="19"/>
        <item x="17"/>
        <item x="5"/>
        <item x="18"/>
        <item x="10"/>
        <item x="12"/>
        <item x="2"/>
        <item x="1"/>
        <item x="0"/>
        <item x="8"/>
        <item x="3"/>
        <item x="14"/>
        <item x="13"/>
        <item x="16"/>
        <item x="4"/>
        <item x="9"/>
        <item x="11"/>
        <item t="default"/>
      </items>
    </pivotField>
    <pivotField showAll="0">
      <items count="6">
        <item x="0"/>
        <item x="2"/>
        <item x="3"/>
        <item x="1"/>
        <item x="4"/>
        <item t="default"/>
      </items>
    </pivotField>
    <pivotField showAll="0"/>
    <pivotField showAll="0">
      <items count="9">
        <item x="7"/>
        <item x="1"/>
        <item x="4"/>
        <item x="6"/>
        <item x="0"/>
        <item x="3"/>
        <item x="2"/>
        <item x="5"/>
        <item t="default"/>
      </items>
    </pivotField>
    <pivotField showAll="0"/>
    <pivotField dataField="1" showAll="0"/>
    <pivotField showAll="0"/>
    <pivotField axis="axisRow" showAll="0">
      <items count="3">
        <item x="1"/>
        <item x="0"/>
        <item t="default"/>
      </items>
    </pivotField>
    <pivotField showAll="0"/>
    <pivotField showAll="0"/>
    <pivotField showAll="0"/>
    <pivotField numFmtId="9" showAll="0"/>
  </pivotFields>
  <rowFields count="1">
    <field x="12"/>
  </rowFields>
  <rowItems count="3">
    <i>
      <x/>
    </i>
    <i>
      <x v="1"/>
    </i>
    <i t="grand">
      <x/>
    </i>
  </rowItems>
  <colItems count="1">
    <i/>
  </colItems>
  <dataFields count="1">
    <dataField name="Sum of CASE_HANDLED"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CC5435A-AA53-4968-9DA3-215C815C3060}" name="PivotTable4" cacheId="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5:B56" firstHeaderRow="1" firstDataRow="1" firstDataCol="1"/>
  <pivotFields count="17">
    <pivotField showAll="0"/>
    <pivotField numFmtId="15" showAll="0"/>
    <pivotField showAll="0">
      <items count="13">
        <item x="3"/>
        <item x="11"/>
        <item x="1"/>
        <item x="4"/>
        <item x="5"/>
        <item x="0"/>
        <item x="6"/>
        <item x="10"/>
        <item x="8"/>
        <item x="2"/>
        <item x="9"/>
        <item x="7"/>
        <item t="default"/>
      </items>
    </pivotField>
    <pivotField showAll="0"/>
    <pivotField showAll="0"/>
    <pivotField axis="axisRow" showAll="0" sortType="descending">
      <items count="21">
        <item x="7"/>
        <item x="6"/>
        <item x="15"/>
        <item x="19"/>
        <item x="17"/>
        <item x="5"/>
        <item x="18"/>
        <item x="10"/>
        <item x="12"/>
        <item x="2"/>
        <item x="1"/>
        <item x="0"/>
        <item x="8"/>
        <item x="3"/>
        <item x="14"/>
        <item x="13"/>
        <item x="16"/>
        <item x="4"/>
        <item x="9"/>
        <item x="11"/>
        <item t="default"/>
      </items>
      <autoSortScope>
        <pivotArea dataOnly="0" outline="0" fieldPosition="0">
          <references count="1">
            <reference field="4294967294" count="1" selected="0">
              <x v="0"/>
            </reference>
          </references>
        </pivotArea>
      </autoSortScope>
    </pivotField>
    <pivotField showAll="0">
      <items count="6">
        <item x="0"/>
        <item x="2"/>
        <item x="3"/>
        <item x="1"/>
        <item x="4"/>
        <item t="default"/>
      </items>
    </pivotField>
    <pivotField showAll="0"/>
    <pivotField showAll="0">
      <items count="9">
        <item x="7"/>
        <item x="1"/>
        <item x="4"/>
        <item x="6"/>
        <item x="0"/>
        <item x="3"/>
        <item x="2"/>
        <item x="5"/>
        <item t="default"/>
      </items>
    </pivotField>
    <pivotField showAll="0"/>
    <pivotField dataField="1" showAll="0"/>
    <pivotField showAll="0"/>
    <pivotField showAll="0"/>
    <pivotField showAll="0"/>
    <pivotField showAll="0"/>
    <pivotField showAll="0"/>
    <pivotField numFmtId="9" showAll="0"/>
  </pivotFields>
  <rowFields count="1">
    <field x="5"/>
  </rowFields>
  <rowItems count="21">
    <i>
      <x v="16"/>
    </i>
    <i>
      <x v="1"/>
    </i>
    <i>
      <x v="2"/>
    </i>
    <i>
      <x v="4"/>
    </i>
    <i>
      <x v="8"/>
    </i>
    <i>
      <x v="12"/>
    </i>
    <i>
      <x v="3"/>
    </i>
    <i>
      <x v="10"/>
    </i>
    <i>
      <x v="17"/>
    </i>
    <i>
      <x v="6"/>
    </i>
    <i>
      <x v="18"/>
    </i>
    <i>
      <x v="19"/>
    </i>
    <i>
      <x/>
    </i>
    <i>
      <x v="9"/>
    </i>
    <i>
      <x v="7"/>
    </i>
    <i>
      <x v="11"/>
    </i>
    <i>
      <x v="15"/>
    </i>
    <i>
      <x v="5"/>
    </i>
    <i>
      <x v="14"/>
    </i>
    <i>
      <x v="13"/>
    </i>
    <i t="grand">
      <x/>
    </i>
  </rowItems>
  <colItems count="1">
    <i/>
  </colItems>
  <dataFields count="1">
    <dataField name="Sum of CASE_HANDLED" fld="10"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145E118-8CAE-438E-98B0-148B1132FA75}" name="PivotTable3" cacheId="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5:B28" firstHeaderRow="1" firstDataRow="1" firstDataCol="1"/>
  <pivotFields count="17">
    <pivotField showAll="0"/>
    <pivotField numFmtId="15" showAll="0"/>
    <pivotField axis="axisRow" showAll="0">
      <items count="13">
        <item x="3"/>
        <item x="11"/>
        <item x="1"/>
        <item x="4"/>
        <item x="5"/>
        <item x="0"/>
        <item x="6"/>
        <item x="10"/>
        <item x="8"/>
        <item x="2"/>
        <item x="9"/>
        <item x="7"/>
        <item t="default"/>
      </items>
    </pivotField>
    <pivotField showAll="0"/>
    <pivotField showAll="0"/>
    <pivotField showAll="0">
      <items count="21">
        <item x="7"/>
        <item x="6"/>
        <item x="15"/>
        <item x="19"/>
        <item x="17"/>
        <item x="5"/>
        <item x="18"/>
        <item x="10"/>
        <item x="12"/>
        <item x="2"/>
        <item x="1"/>
        <item x="0"/>
        <item x="8"/>
        <item x="3"/>
        <item x="14"/>
        <item x="13"/>
        <item x="16"/>
        <item x="4"/>
        <item x="9"/>
        <item x="11"/>
        <item t="default"/>
      </items>
    </pivotField>
    <pivotField showAll="0">
      <items count="6">
        <item x="0"/>
        <item x="2"/>
        <item x="3"/>
        <item x="1"/>
        <item x="4"/>
        <item t="default"/>
      </items>
    </pivotField>
    <pivotField showAll="0"/>
    <pivotField showAll="0">
      <items count="9">
        <item x="7"/>
        <item x="1"/>
        <item x="4"/>
        <item x="6"/>
        <item x="0"/>
        <item x="3"/>
        <item x="2"/>
        <item x="5"/>
        <item t="default"/>
      </items>
    </pivotField>
    <pivotField showAll="0"/>
    <pivotField dataField="1" showAll="0"/>
    <pivotField showAll="0"/>
    <pivotField showAll="0"/>
    <pivotField showAll="0"/>
    <pivotField showAll="0"/>
    <pivotField showAll="0"/>
    <pivotField numFmtId="9" showAll="0"/>
  </pivotFields>
  <rowFields count="1">
    <field x="2"/>
  </rowFields>
  <rowItems count="13">
    <i>
      <x/>
    </i>
    <i>
      <x v="1"/>
    </i>
    <i>
      <x v="2"/>
    </i>
    <i>
      <x v="3"/>
    </i>
    <i>
      <x v="4"/>
    </i>
    <i>
      <x v="5"/>
    </i>
    <i>
      <x v="6"/>
    </i>
    <i>
      <x v="7"/>
    </i>
    <i>
      <x v="8"/>
    </i>
    <i>
      <x v="9"/>
    </i>
    <i>
      <x v="10"/>
    </i>
    <i>
      <x v="11"/>
    </i>
    <i t="grand">
      <x/>
    </i>
  </rowItems>
  <colItems count="1">
    <i/>
  </colItems>
  <dataFields count="1">
    <dataField name="Sum of CASE_HANDLED" fld="10"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6E025A6-308C-47E7-95C8-5D70595AD637}" name="PivotTable2" cacheId="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7" firstHeaderRow="1" firstDataRow="1" firstDataCol="1"/>
  <pivotFields count="17">
    <pivotField showAll="0"/>
    <pivotField numFmtId="15" showAll="0"/>
    <pivotField showAll="0">
      <items count="13">
        <item x="3"/>
        <item x="11"/>
        <item x="1"/>
        <item x="4"/>
        <item x="5"/>
        <item x="0"/>
        <item x="6"/>
        <item x="10"/>
        <item x="8"/>
        <item x="2"/>
        <item x="9"/>
        <item x="7"/>
        <item t="default"/>
      </items>
    </pivotField>
    <pivotField showAll="0"/>
    <pivotField showAll="0"/>
    <pivotField showAll="0">
      <items count="21">
        <item x="7"/>
        <item x="6"/>
        <item x="15"/>
        <item x="19"/>
        <item x="17"/>
        <item x="5"/>
        <item x="18"/>
        <item x="10"/>
        <item x="12"/>
        <item x="2"/>
        <item x="1"/>
        <item x="0"/>
        <item x="8"/>
        <item x="3"/>
        <item x="14"/>
        <item x="13"/>
        <item x="16"/>
        <item x="4"/>
        <item x="9"/>
        <item x="11"/>
        <item t="default"/>
      </items>
    </pivotField>
    <pivotField axis="axisRow" showAll="0">
      <items count="6">
        <item x="0"/>
        <item x="2"/>
        <item x="3"/>
        <item x="1"/>
        <item x="4"/>
        <item t="default"/>
      </items>
    </pivotField>
    <pivotField showAll="0"/>
    <pivotField showAll="0">
      <items count="9">
        <item x="7"/>
        <item x="1"/>
        <item x="4"/>
        <item x="6"/>
        <item x="0"/>
        <item x="3"/>
        <item x="2"/>
        <item x="5"/>
        <item t="default"/>
      </items>
    </pivotField>
    <pivotField showAll="0"/>
    <pivotField dataField="1" showAll="0"/>
    <pivotField showAll="0"/>
    <pivotField showAll="0"/>
    <pivotField showAll="0"/>
    <pivotField showAll="0"/>
    <pivotField showAll="0"/>
    <pivotField numFmtId="9" showAll="0"/>
  </pivotFields>
  <rowFields count="1">
    <field x="6"/>
  </rowFields>
  <rowItems count="6">
    <i>
      <x/>
    </i>
    <i>
      <x v="1"/>
    </i>
    <i>
      <x v="2"/>
    </i>
    <i>
      <x v="3"/>
    </i>
    <i>
      <x v="4"/>
    </i>
    <i t="grand">
      <x/>
    </i>
  </rowItems>
  <colItems count="1">
    <i/>
  </colItems>
  <dataFields count="1">
    <dataField name="Sum of CASE_HANDLED" fld="10"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ESTIGATION_TYPE" xr10:uid="{6209854E-ED06-4DAA-B426-AA22957D9E9F}" sourceName="INVESTIGATION_TYPE">
  <pivotTables>
    <pivotTable tabId="1" name="PivotTable2"/>
    <pivotTable tabId="1" name="PivotTable3"/>
    <pivotTable tabId="1" name="PivotTable4"/>
    <pivotTable tabId="1" name="PivotTable5"/>
    <pivotTable tabId="1" name="PivotTable7"/>
    <pivotTable tabId="1" name="PivotTable8"/>
    <pivotTable tabId="1" name="PivotTable9"/>
    <pivotTable tabId="1" name="PivotTable10"/>
    <pivotTable tabId="1" name="PivotTable11"/>
  </pivotTables>
  <data>
    <tabular pivotCacheId="416852275">
      <items count="5">
        <i x="0" s="1"/>
        <i x="2" s="1"/>
        <i x="3"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6D3D06F-FA1A-4328-8EF7-9E6288B3758E}" sourceName="REGION">
  <pivotTables>
    <pivotTable tabId="1" name="PivotTable2"/>
    <pivotTable tabId="1" name="PivotTable3"/>
    <pivotTable tabId="1" name="PivotTable4"/>
    <pivotTable tabId="1" name="PivotTable5"/>
    <pivotTable tabId="1" name="PivotTable7"/>
    <pivotTable tabId="1" name="PivotTable8"/>
    <pivotTable tabId="1" name="PivotTable9"/>
    <pivotTable tabId="1" name="PivotTable10"/>
    <pivotTable tabId="1" name="PivotTable11"/>
  </pivotTables>
  <data>
    <tabular pivotCacheId="416852275">
      <items count="8">
        <i x="7" s="1"/>
        <i x="1" s="1"/>
        <i x="4" s="1"/>
        <i x="6" s="1"/>
        <i x="0" s="1"/>
        <i x="3" s="1"/>
        <i x="2"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978CB0E-CBBC-4C40-A3D7-04E069F0C7D2}" sourceName="MONTH">
  <pivotTables>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10"/>
    <pivotTable tabId="1" name="PivotTable11"/>
  </pivotTables>
  <data>
    <tabular pivotCacheId="416852275">
      <items count="12">
        <i x="3" s="1"/>
        <i x="11" s="1"/>
        <i x="1" s="1"/>
        <i x="4" s="1"/>
        <i x="5" s="1"/>
        <i x="0" s="1"/>
        <i x="6" s="1"/>
        <i x="10" s="1"/>
        <i x="8" s="1"/>
        <i x="2" s="1"/>
        <i x="9"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ESTIGATOR" xr10:uid="{904DCE70-E4CE-41D2-9835-B26E081AD817}" sourceName="INVESTIGATOR">
  <pivotTables>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10"/>
    <pivotTable tabId="1" name="PivotTable11"/>
  </pivotTables>
  <data>
    <tabular pivotCacheId="416852275">
      <items count="20">
        <i x="7" s="1"/>
        <i x="6" s="1"/>
        <i x="15" s="1"/>
        <i x="19" s="1"/>
        <i x="17" s="1"/>
        <i x="5" s="1"/>
        <i x="18" s="1"/>
        <i x="10" s="1"/>
        <i x="12" s="1"/>
        <i x="2" s="1"/>
        <i x="1" s="1"/>
        <i x="0" s="1"/>
        <i x="8" s="1"/>
        <i x="3" s="1"/>
        <i x="14" s="1"/>
        <i x="13" s="1"/>
        <i x="16" s="1"/>
        <i x="4" s="1"/>
        <i x="9"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VESTIGATION_TYPE" xr10:uid="{83FD325D-FA3E-459C-BF85-2081BFE3EC68}" cache="Slicer_INVESTIGATION_TYPE" caption="Investigation Types" columnCount="2" rowHeight="288000"/>
  <slicer name="REGION" xr10:uid="{9E87AA03-4837-453A-A980-45690B256B67}" cache="Slicer_REGION" caption="Region" columnCount="2" rowHeight="288000"/>
  <slicer name="MONTH" xr10:uid="{8FA1FC10-59AF-4518-95D1-CD669E25211C}" cache="Slicer_MONTH" caption="Month" columnCount="3" rowHeight="288000"/>
  <slicer name="INVESTIGATOR" xr10:uid="{326B5B1B-5734-44FF-B34F-A22813660289}" cache="Slicer_INVESTIGATOR" caption="Investigator" columnCount="4"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28E69D8-ADBE-4849-B5E4-37422D308B29}" name="Table3" displayName="Table3" ref="A1:Q501" totalsRowShown="0" headerRowDxfId="31">
  <autoFilter ref="A1:Q501" xr:uid="{828E69D8-ADBE-4849-B5E4-37422D308B2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6A21C8CB-B862-4099-9424-2EE4D19E44AE}" name="CASE_Id" dataDxfId="30">
      <calculatedColumnFormula>"NOI"&amp;TEXT(ROW()-1,"000000")</calculatedColumnFormula>
    </tableColumn>
    <tableColumn id="2" xr3:uid="{C3462DB3-4BB8-4914-B5FF-BD2918AB58FE}" name="DATE" dataDxfId="29"/>
    <tableColumn id="3" xr3:uid="{CF96D5D8-886A-4D12-98EE-8B065FC07831}" name="MONTH" dataDxfId="28"/>
    <tableColumn id="4" xr3:uid="{C56DF7C0-A1E6-4208-8387-96BBA961B9C1}" name="WEEK" dataDxfId="19"/>
    <tableColumn id="5" xr3:uid="{27DA486A-494C-4A2D-8D67-BA38D4BD4644}" name="QUARTER" dataDxfId="18"/>
    <tableColumn id="6" xr3:uid="{F157A7FF-65FC-4126-B3DF-119D4D5E9406}" name="INVESTIGATOR"/>
    <tableColumn id="7" xr3:uid="{6BD6BDBC-EDFE-4D04-9BD8-1243E1C8D0C8}" name="INVESTIGATION_TYPE" dataDxfId="23"/>
    <tableColumn id="8" xr3:uid="{D2033EC9-663C-4E7F-9FA3-6BDC4C8023DC}" name="QUEUE" dataDxfId="24"/>
    <tableColumn id="9" xr3:uid="{053D2A37-3A9A-4F55-82ED-F04319A338E4}" name="REGION" dataDxfId="27"/>
    <tableColumn id="10" xr3:uid="{1B4BD150-094F-413E-8794-F731FEAA9727}" name="PRIORITY" dataDxfId="25"/>
    <tableColumn id="11" xr3:uid="{78155B96-6097-46D3-9423-E3372FB91300}" name="CASE_HANDLED" dataDxfId="26"/>
    <tableColumn id="12" xr3:uid="{9CB76018-BAC3-4E91-A7B1-C5C2A80B7832}" name="DECISION" dataDxfId="22"/>
    <tableColumn id="13" xr3:uid="{88BEDCE3-7326-4419-B7D1-C68FCC3A3770}" name="SLA" dataDxfId="21"/>
    <tableColumn id="14" xr3:uid="{16BC368B-E311-4EEB-BA7A-3D319B2CD857}" name="STATUS" dataDxfId="20"/>
    <tableColumn id="15" xr3:uid="{68202E43-1562-437E-B6DE-1D8D9539E2EF}" name="HANDLE_TIME" dataDxfId="17"/>
    <tableColumn id="16" xr3:uid="{F69A91A7-B809-4A4D-AA68-2C6B756D45D3}" name="INVESTIGATION_RESULT" dataDxfId="16"/>
    <tableColumn id="17" xr3:uid="{F236AF42-D389-4B91-8954-9A050743059E}" name="QUALITY_SCORE" dataDxfId="15" dataCellStyle="Percent"/>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A8F24-3F9B-4E46-8426-9E2A79ACA8F1}">
  <dimension ref="A1:AB501"/>
  <sheetViews>
    <sheetView zoomScaleNormal="100" workbookViewId="0">
      <selection activeCell="B10" sqref="B10"/>
    </sheetView>
  </sheetViews>
  <sheetFormatPr defaultRowHeight="14.5" x14ac:dyDescent="0.35"/>
  <cols>
    <col min="1" max="1" width="10.26953125" customWidth="1"/>
    <col min="2" max="2" width="17" bestFit="1" customWidth="1"/>
    <col min="3" max="4" width="10.26953125" customWidth="1"/>
    <col min="5" max="6" width="17.7265625" bestFit="1" customWidth="1"/>
    <col min="7" max="7" width="20.81640625" bestFit="1" customWidth="1"/>
    <col min="8" max="8" width="11.08984375" bestFit="1" customWidth="1"/>
    <col min="9" max="9" width="9.08984375" bestFit="1" customWidth="1"/>
    <col min="10" max="10" width="9.26953125" bestFit="1" customWidth="1"/>
    <col min="11" max="11" width="15.54296875" bestFit="1" customWidth="1"/>
    <col min="12" max="12" width="9.453125" bestFit="1" customWidth="1"/>
    <col min="13" max="13" width="8.6328125" bestFit="1" customWidth="1"/>
    <col min="14" max="14" width="7.81640625" bestFit="1" customWidth="1"/>
    <col min="15" max="15" width="14.1796875" bestFit="1" customWidth="1"/>
    <col min="16" max="16" width="23.26953125" bestFit="1" customWidth="1"/>
    <col min="17" max="17" width="15.90625" bestFit="1" customWidth="1"/>
    <col min="20" max="20" width="21.7265625" bestFit="1" customWidth="1"/>
    <col min="21" max="21" width="20.81640625" bestFit="1" customWidth="1"/>
    <col min="22" max="22" width="11.90625" bestFit="1" customWidth="1"/>
    <col min="23" max="23" width="9.26953125" bestFit="1" customWidth="1"/>
    <col min="24" max="24" width="14.1796875" bestFit="1" customWidth="1"/>
    <col min="25" max="25" width="8.6328125" bestFit="1" customWidth="1"/>
    <col min="27" max="27" width="23.26953125" bestFit="1" customWidth="1"/>
    <col min="28" max="28" width="13.26953125" bestFit="1" customWidth="1"/>
  </cols>
  <sheetData>
    <row r="1" spans="1:28" ht="16" thickBot="1" x14ac:dyDescent="0.4">
      <c r="A1" s="2" t="s">
        <v>0</v>
      </c>
      <c r="B1" s="2" t="s">
        <v>1</v>
      </c>
      <c r="C1" s="2" t="s">
        <v>13</v>
      </c>
      <c r="D1" s="2" t="s">
        <v>14</v>
      </c>
      <c r="E1" s="2" t="s">
        <v>15</v>
      </c>
      <c r="F1" s="2" t="s">
        <v>2</v>
      </c>
      <c r="G1" s="2" t="s">
        <v>3</v>
      </c>
      <c r="H1" s="2" t="s">
        <v>4</v>
      </c>
      <c r="I1" s="2" t="s">
        <v>5</v>
      </c>
      <c r="J1" s="2" t="s">
        <v>6</v>
      </c>
      <c r="K1" s="2" t="s">
        <v>16</v>
      </c>
      <c r="L1" s="2" t="s">
        <v>7</v>
      </c>
      <c r="M1" s="2" t="s">
        <v>8</v>
      </c>
      <c r="N1" s="2" t="s">
        <v>9</v>
      </c>
      <c r="O1" s="2" t="s">
        <v>10</v>
      </c>
      <c r="P1" s="2" t="s">
        <v>11</v>
      </c>
      <c r="Q1" s="2" t="s">
        <v>12</v>
      </c>
      <c r="T1" s="5" t="s">
        <v>2</v>
      </c>
      <c r="U1" s="5" t="s">
        <v>3</v>
      </c>
      <c r="V1" s="5" t="s">
        <v>5</v>
      </c>
      <c r="W1" s="5" t="s">
        <v>6</v>
      </c>
      <c r="X1" s="5" t="s">
        <v>7</v>
      </c>
      <c r="Y1" s="5" t="s">
        <v>8</v>
      </c>
      <c r="Z1" s="5" t="s">
        <v>9</v>
      </c>
      <c r="AA1" s="5" t="s">
        <v>11</v>
      </c>
      <c r="AB1" s="5" t="s">
        <v>4</v>
      </c>
    </row>
    <row r="2" spans="1:28" ht="15" thickBot="1" x14ac:dyDescent="0.4">
      <c r="A2" t="str">
        <f t="shared" ref="A2:A65" si="0">"NOI"&amp;TEXT(ROW()-1,"000000")</f>
        <v>NOI000001</v>
      </c>
      <c r="B2" s="6">
        <v>45819</v>
      </c>
      <c r="C2" s="1" t="s">
        <v>64</v>
      </c>
      <c r="D2" s="1">
        <v>24</v>
      </c>
      <c r="E2" s="8" t="s">
        <v>76</v>
      </c>
      <c r="F2" t="s">
        <v>29</v>
      </c>
      <c r="G2" s="1" t="s">
        <v>39</v>
      </c>
      <c r="H2" t="s">
        <v>62</v>
      </c>
      <c r="I2" s="1" t="s">
        <v>49</v>
      </c>
      <c r="J2" s="1" t="s">
        <v>51</v>
      </c>
      <c r="K2" s="1">
        <v>1</v>
      </c>
      <c r="L2" t="s">
        <v>53</v>
      </c>
      <c r="M2" t="s">
        <v>56</v>
      </c>
      <c r="N2" t="s">
        <v>58</v>
      </c>
      <c r="O2" s="1">
        <v>7</v>
      </c>
      <c r="P2" s="1" t="s">
        <v>60</v>
      </c>
      <c r="Q2" s="10">
        <v>0.95</v>
      </c>
      <c r="T2" s="4" t="s">
        <v>17</v>
      </c>
      <c r="U2" s="4" t="s">
        <v>37</v>
      </c>
      <c r="V2" s="4" t="s">
        <v>42</v>
      </c>
      <c r="W2" s="4" t="s">
        <v>50</v>
      </c>
      <c r="X2" s="4" t="s">
        <v>53</v>
      </c>
      <c r="Y2" s="4" t="s">
        <v>56</v>
      </c>
      <c r="Z2" s="4" t="s">
        <v>58</v>
      </c>
      <c r="AA2" s="4" t="s">
        <v>60</v>
      </c>
      <c r="AB2" s="4" t="s">
        <v>62</v>
      </c>
    </row>
    <row r="3" spans="1:28" ht="15" thickBot="1" x14ac:dyDescent="0.4">
      <c r="A3" t="str">
        <f t="shared" si="0"/>
        <v>NOI000002</v>
      </c>
      <c r="B3" s="6">
        <v>45732</v>
      </c>
      <c r="C3" s="1" t="s">
        <v>65</v>
      </c>
      <c r="D3" s="1">
        <v>12</v>
      </c>
      <c r="E3" s="8" t="s">
        <v>77</v>
      </c>
      <c r="F3" t="s">
        <v>26</v>
      </c>
      <c r="G3" s="1" t="s">
        <v>41</v>
      </c>
      <c r="H3" t="s">
        <v>62</v>
      </c>
      <c r="I3" s="1" t="s">
        <v>45</v>
      </c>
      <c r="J3" s="1" t="s">
        <v>50</v>
      </c>
      <c r="K3" s="1">
        <v>1</v>
      </c>
      <c r="L3" t="s">
        <v>54</v>
      </c>
      <c r="M3" t="s">
        <v>56</v>
      </c>
      <c r="N3" t="s">
        <v>58</v>
      </c>
      <c r="O3" s="1">
        <v>9</v>
      </c>
      <c r="P3" s="1" t="s">
        <v>60</v>
      </c>
      <c r="Q3" s="10">
        <v>0.99</v>
      </c>
      <c r="T3" s="4" t="s">
        <v>18</v>
      </c>
      <c r="U3" s="4" t="s">
        <v>38</v>
      </c>
      <c r="V3" s="4" t="s">
        <v>43</v>
      </c>
      <c r="W3" s="4" t="s">
        <v>51</v>
      </c>
      <c r="X3" s="4" t="s">
        <v>54</v>
      </c>
      <c r="Y3" s="4" t="s">
        <v>57</v>
      </c>
      <c r="Z3" s="4" t="s">
        <v>59</v>
      </c>
      <c r="AA3" s="4" t="s">
        <v>61</v>
      </c>
      <c r="AB3" s="4" t="s">
        <v>63</v>
      </c>
    </row>
    <row r="4" spans="1:28" ht="15" thickBot="1" x14ac:dyDescent="0.4">
      <c r="A4" t="str">
        <f t="shared" si="0"/>
        <v>NOI000003</v>
      </c>
      <c r="B4" s="6">
        <v>45933</v>
      </c>
      <c r="C4" s="1" t="s">
        <v>66</v>
      </c>
      <c r="D4" s="1">
        <v>40</v>
      </c>
      <c r="E4" s="8" t="s">
        <v>78</v>
      </c>
      <c r="F4" t="s">
        <v>33</v>
      </c>
      <c r="G4" s="1" t="s">
        <v>38</v>
      </c>
      <c r="H4" t="s">
        <v>62</v>
      </c>
      <c r="I4" s="1" t="s">
        <v>44</v>
      </c>
      <c r="J4" s="1" t="s">
        <v>50</v>
      </c>
      <c r="K4" s="1">
        <v>1</v>
      </c>
      <c r="L4" t="s">
        <v>53</v>
      </c>
      <c r="M4" t="s">
        <v>56</v>
      </c>
      <c r="N4" t="s">
        <v>58</v>
      </c>
      <c r="O4" s="1">
        <v>9</v>
      </c>
      <c r="P4" s="1" t="s">
        <v>60</v>
      </c>
      <c r="Q4" s="10">
        <v>0.97</v>
      </c>
      <c r="T4" s="4" t="s">
        <v>19</v>
      </c>
      <c r="U4" s="4" t="s">
        <v>39</v>
      </c>
      <c r="V4" s="4" t="s">
        <v>44</v>
      </c>
      <c r="W4" s="4" t="s">
        <v>52</v>
      </c>
      <c r="X4" s="4" t="s">
        <v>55</v>
      </c>
      <c r="Y4" s="4"/>
      <c r="Z4" s="4"/>
      <c r="AA4" s="4"/>
      <c r="AB4" s="4"/>
    </row>
    <row r="5" spans="1:28" ht="15" thickBot="1" x14ac:dyDescent="0.4">
      <c r="A5" t="str">
        <f t="shared" si="0"/>
        <v>NOI000004</v>
      </c>
      <c r="B5" s="6">
        <v>45954</v>
      </c>
      <c r="C5" s="1" t="s">
        <v>66</v>
      </c>
      <c r="D5" s="1">
        <v>43</v>
      </c>
      <c r="E5" s="8" t="s">
        <v>78</v>
      </c>
      <c r="F5" t="s">
        <v>23</v>
      </c>
      <c r="G5" s="1" t="s">
        <v>40</v>
      </c>
      <c r="H5" t="s">
        <v>62</v>
      </c>
      <c r="I5" s="1" t="s">
        <v>48</v>
      </c>
      <c r="J5" s="1" t="s">
        <v>51</v>
      </c>
      <c r="K5" s="1">
        <v>1</v>
      </c>
      <c r="L5" t="s">
        <v>53</v>
      </c>
      <c r="M5" t="s">
        <v>56</v>
      </c>
      <c r="N5" t="s">
        <v>58</v>
      </c>
      <c r="O5" s="1">
        <v>8</v>
      </c>
      <c r="P5" s="1" t="s">
        <v>60</v>
      </c>
      <c r="Q5" s="10">
        <v>0.99</v>
      </c>
      <c r="T5" s="4" t="s">
        <v>20</v>
      </c>
      <c r="U5" s="4" t="s">
        <v>40</v>
      </c>
      <c r="V5" s="4" t="s">
        <v>45</v>
      </c>
      <c r="W5" s="4"/>
      <c r="X5" s="4"/>
      <c r="Y5" s="4"/>
      <c r="Z5" s="4"/>
      <c r="AA5" s="4"/>
      <c r="AB5" s="4"/>
    </row>
    <row r="6" spans="1:28" ht="15" thickBot="1" x14ac:dyDescent="0.4">
      <c r="A6" t="str">
        <f t="shared" si="0"/>
        <v>NOI000005</v>
      </c>
      <c r="B6" s="6">
        <v>45675</v>
      </c>
      <c r="C6" s="1" t="s">
        <v>67</v>
      </c>
      <c r="D6" s="1">
        <v>3</v>
      </c>
      <c r="E6" s="8" t="s">
        <v>77</v>
      </c>
      <c r="F6" t="s">
        <v>22</v>
      </c>
      <c r="G6" s="1" t="s">
        <v>38</v>
      </c>
      <c r="H6" t="s">
        <v>63</v>
      </c>
      <c r="I6" s="1" t="s">
        <v>45</v>
      </c>
      <c r="J6" s="1" t="s">
        <v>51</v>
      </c>
      <c r="K6" s="1">
        <v>1</v>
      </c>
      <c r="L6" t="s">
        <v>53</v>
      </c>
      <c r="M6" t="s">
        <v>56</v>
      </c>
      <c r="N6" t="s">
        <v>58</v>
      </c>
      <c r="O6" s="1">
        <v>9</v>
      </c>
      <c r="P6" s="1" t="s">
        <v>60</v>
      </c>
      <c r="Q6" s="10">
        <v>0.99</v>
      </c>
      <c r="T6" s="4" t="s">
        <v>21</v>
      </c>
      <c r="U6" s="4" t="s">
        <v>41</v>
      </c>
      <c r="V6" s="4" t="s">
        <v>46</v>
      </c>
      <c r="W6" s="4"/>
      <c r="X6" s="4"/>
      <c r="Y6" s="4"/>
      <c r="Z6" s="4"/>
      <c r="AA6" s="4"/>
      <c r="AB6" s="4"/>
    </row>
    <row r="7" spans="1:28" ht="15" thickBot="1" x14ac:dyDescent="0.4">
      <c r="A7" t="str">
        <f t="shared" si="0"/>
        <v>NOI000006</v>
      </c>
      <c r="B7" s="6">
        <v>45752</v>
      </c>
      <c r="C7" s="1" t="s">
        <v>68</v>
      </c>
      <c r="D7" s="1">
        <v>14</v>
      </c>
      <c r="E7" s="8" t="s">
        <v>76</v>
      </c>
      <c r="F7" t="s">
        <v>33</v>
      </c>
      <c r="G7" s="1" t="s">
        <v>41</v>
      </c>
      <c r="H7" t="s">
        <v>62</v>
      </c>
      <c r="I7" s="1" t="s">
        <v>46</v>
      </c>
      <c r="J7" s="1" t="s">
        <v>51</v>
      </c>
      <c r="K7" s="1">
        <v>1</v>
      </c>
      <c r="L7" t="s">
        <v>53</v>
      </c>
      <c r="M7" t="s">
        <v>56</v>
      </c>
      <c r="N7" t="s">
        <v>58</v>
      </c>
      <c r="O7" s="1">
        <v>10</v>
      </c>
      <c r="P7" s="1" t="s">
        <v>60</v>
      </c>
      <c r="Q7" s="10">
        <v>0.96</v>
      </c>
      <c r="T7" s="4" t="s">
        <v>22</v>
      </c>
      <c r="U7" s="4"/>
      <c r="V7" s="4" t="s">
        <v>47</v>
      </c>
      <c r="W7" s="4"/>
      <c r="X7" s="4"/>
      <c r="Y7" s="4"/>
      <c r="Z7" s="4"/>
      <c r="AA7" s="4"/>
      <c r="AB7" s="4"/>
    </row>
    <row r="8" spans="1:28" ht="15" thickBot="1" x14ac:dyDescent="0.4">
      <c r="A8" t="str">
        <f t="shared" si="0"/>
        <v>NOI000007</v>
      </c>
      <c r="B8" s="6">
        <v>45726</v>
      </c>
      <c r="C8" s="1" t="s">
        <v>65</v>
      </c>
      <c r="D8" s="1">
        <v>11</v>
      </c>
      <c r="E8" s="8" t="s">
        <v>77</v>
      </c>
      <c r="F8" t="s">
        <v>21</v>
      </c>
      <c r="G8" s="1" t="s">
        <v>40</v>
      </c>
      <c r="H8" t="s">
        <v>63</v>
      </c>
      <c r="I8" s="1" t="s">
        <v>42</v>
      </c>
      <c r="J8" s="1" t="s">
        <v>51</v>
      </c>
      <c r="K8" s="1">
        <v>1</v>
      </c>
      <c r="L8" t="s">
        <v>54</v>
      </c>
      <c r="M8" t="s">
        <v>56</v>
      </c>
      <c r="N8" t="s">
        <v>58</v>
      </c>
      <c r="O8" s="1">
        <v>10</v>
      </c>
      <c r="P8" s="1" t="s">
        <v>60</v>
      </c>
      <c r="Q8" s="10">
        <v>0.99</v>
      </c>
      <c r="T8" s="4" t="s">
        <v>23</v>
      </c>
      <c r="U8" s="4"/>
      <c r="V8" s="4" t="s">
        <v>48</v>
      </c>
      <c r="W8" s="4"/>
      <c r="X8" s="4"/>
      <c r="Y8" s="4"/>
      <c r="Z8" s="4"/>
      <c r="AA8" s="4"/>
      <c r="AB8" s="4"/>
    </row>
    <row r="9" spans="1:28" ht="15" thickBot="1" x14ac:dyDescent="0.4">
      <c r="A9" t="str">
        <f t="shared" si="0"/>
        <v>NOI000008</v>
      </c>
      <c r="B9" s="6">
        <v>45805</v>
      </c>
      <c r="C9" s="1" t="s">
        <v>69</v>
      </c>
      <c r="D9" s="1">
        <v>22</v>
      </c>
      <c r="E9" s="8" t="s">
        <v>76</v>
      </c>
      <c r="F9" t="s">
        <v>24</v>
      </c>
      <c r="G9" s="1" t="s">
        <v>40</v>
      </c>
      <c r="H9" t="s">
        <v>62</v>
      </c>
      <c r="I9" s="1" t="s">
        <v>48</v>
      </c>
      <c r="J9" s="1" t="s">
        <v>50</v>
      </c>
      <c r="K9" s="1">
        <v>1</v>
      </c>
      <c r="L9" t="s">
        <v>54</v>
      </c>
      <c r="M9" t="s">
        <v>56</v>
      </c>
      <c r="N9" t="s">
        <v>58</v>
      </c>
      <c r="O9" s="1">
        <v>9</v>
      </c>
      <c r="P9" s="1" t="s">
        <v>60</v>
      </c>
      <c r="Q9" s="10">
        <v>0.94</v>
      </c>
      <c r="T9" s="4" t="s">
        <v>24</v>
      </c>
      <c r="U9" s="4"/>
      <c r="V9" s="4" t="s">
        <v>49</v>
      </c>
      <c r="W9" s="4"/>
      <c r="X9" s="4"/>
      <c r="Y9" s="4"/>
      <c r="Z9" s="4"/>
      <c r="AA9" s="4"/>
      <c r="AB9" s="4"/>
    </row>
    <row r="10" spans="1:28" ht="15" thickBot="1" x14ac:dyDescent="0.4">
      <c r="A10" t="str">
        <f t="shared" si="0"/>
        <v>NOI000009</v>
      </c>
      <c r="B10" s="6">
        <v>45951</v>
      </c>
      <c r="C10" s="1" t="s">
        <v>66</v>
      </c>
      <c r="D10" s="1">
        <v>43</v>
      </c>
      <c r="E10" s="8" t="s">
        <v>78</v>
      </c>
      <c r="F10" t="s">
        <v>29</v>
      </c>
      <c r="G10" s="1" t="s">
        <v>39</v>
      </c>
      <c r="H10" t="s">
        <v>63</v>
      </c>
      <c r="I10" s="1" t="s">
        <v>43</v>
      </c>
      <c r="J10" s="1" t="s">
        <v>50</v>
      </c>
      <c r="K10" s="1">
        <v>1</v>
      </c>
      <c r="L10" t="s">
        <v>53</v>
      </c>
      <c r="M10" t="s">
        <v>56</v>
      </c>
      <c r="N10" t="s">
        <v>58</v>
      </c>
      <c r="O10" s="1">
        <v>9</v>
      </c>
      <c r="P10" s="1" t="s">
        <v>60</v>
      </c>
      <c r="Q10" s="10">
        <v>0.94</v>
      </c>
      <c r="T10" s="4" t="s">
        <v>25</v>
      </c>
      <c r="U10" s="4"/>
      <c r="V10" s="4"/>
      <c r="W10" s="4"/>
      <c r="X10" s="4"/>
      <c r="Y10" s="4"/>
      <c r="Z10" s="4"/>
      <c r="AA10" s="4"/>
      <c r="AB10" s="4"/>
    </row>
    <row r="11" spans="1:28" ht="15" thickBot="1" x14ac:dyDescent="0.4">
      <c r="A11" t="str">
        <f t="shared" si="0"/>
        <v>NOI000010</v>
      </c>
      <c r="B11" s="6">
        <v>45849</v>
      </c>
      <c r="C11" s="1" t="s">
        <v>70</v>
      </c>
      <c r="D11" s="1">
        <v>28</v>
      </c>
      <c r="E11" s="8" t="s">
        <v>79</v>
      </c>
      <c r="F11" t="s">
        <v>33</v>
      </c>
      <c r="G11" s="1" t="s">
        <v>40</v>
      </c>
      <c r="H11" t="s">
        <v>63</v>
      </c>
      <c r="I11" s="1" t="s">
        <v>47</v>
      </c>
      <c r="J11" s="1" t="s">
        <v>50</v>
      </c>
      <c r="K11" s="1">
        <v>1</v>
      </c>
      <c r="L11" t="s">
        <v>54</v>
      </c>
      <c r="M11" t="s">
        <v>56</v>
      </c>
      <c r="N11" t="s">
        <v>58</v>
      </c>
      <c r="O11" s="1">
        <v>9</v>
      </c>
      <c r="P11" s="1" t="s">
        <v>60</v>
      </c>
      <c r="Q11" s="10">
        <v>0.98</v>
      </c>
      <c r="T11" s="4" t="s">
        <v>26</v>
      </c>
      <c r="U11" s="4"/>
      <c r="V11" s="4"/>
      <c r="W11" s="4"/>
      <c r="X11" s="4"/>
      <c r="Y11" s="4"/>
      <c r="Z11" s="4"/>
      <c r="AA11" s="4"/>
      <c r="AB11" s="4"/>
    </row>
    <row r="12" spans="1:28" ht="15" thickBot="1" x14ac:dyDescent="0.4">
      <c r="A12" t="str">
        <f t="shared" si="0"/>
        <v>NOI000011</v>
      </c>
      <c r="B12" s="6">
        <v>45833</v>
      </c>
      <c r="C12" s="1" t="s">
        <v>64</v>
      </c>
      <c r="D12" s="1">
        <v>26</v>
      </c>
      <c r="E12" s="8" t="s">
        <v>76</v>
      </c>
      <c r="F12" t="s">
        <v>34</v>
      </c>
      <c r="G12" s="1" t="s">
        <v>37</v>
      </c>
      <c r="H12" t="s">
        <v>63</v>
      </c>
      <c r="I12" s="1" t="s">
        <v>46</v>
      </c>
      <c r="J12" s="1" t="s">
        <v>51</v>
      </c>
      <c r="K12" s="1">
        <v>1</v>
      </c>
      <c r="L12" t="s">
        <v>53</v>
      </c>
      <c r="M12" t="s">
        <v>56</v>
      </c>
      <c r="N12" t="s">
        <v>58</v>
      </c>
      <c r="O12" s="1">
        <v>7</v>
      </c>
      <c r="P12" s="1" t="s">
        <v>60</v>
      </c>
      <c r="Q12" s="10">
        <v>0.94</v>
      </c>
      <c r="T12" s="4" t="s">
        <v>27</v>
      </c>
      <c r="U12" s="4"/>
      <c r="V12" s="4"/>
      <c r="W12" s="4"/>
      <c r="X12" s="4"/>
      <c r="Y12" s="4"/>
      <c r="Z12" s="4"/>
      <c r="AA12" s="4"/>
      <c r="AB12" s="4"/>
    </row>
    <row r="13" spans="1:28" ht="15" thickBot="1" x14ac:dyDescent="0.4">
      <c r="A13" t="str">
        <f t="shared" si="0"/>
        <v>NOI000012</v>
      </c>
      <c r="B13" s="6">
        <v>45764</v>
      </c>
      <c r="C13" s="1" t="s">
        <v>68</v>
      </c>
      <c r="D13" s="1">
        <v>16</v>
      </c>
      <c r="E13" s="8" t="s">
        <v>76</v>
      </c>
      <c r="F13" t="s">
        <v>18</v>
      </c>
      <c r="G13" s="1" t="s">
        <v>38</v>
      </c>
      <c r="H13" t="s">
        <v>62</v>
      </c>
      <c r="I13" s="1" t="s">
        <v>45</v>
      </c>
      <c r="J13" s="1" t="s">
        <v>51</v>
      </c>
      <c r="K13" s="1">
        <v>1</v>
      </c>
      <c r="L13" t="s">
        <v>53</v>
      </c>
      <c r="M13" t="s">
        <v>56</v>
      </c>
      <c r="N13" t="s">
        <v>58</v>
      </c>
      <c r="O13" s="1">
        <v>7</v>
      </c>
      <c r="P13" s="1" t="s">
        <v>61</v>
      </c>
      <c r="Q13" s="10">
        <v>0.94</v>
      </c>
      <c r="T13" s="4" t="s">
        <v>28</v>
      </c>
      <c r="U13" s="4"/>
      <c r="V13" s="4"/>
      <c r="W13" s="4"/>
      <c r="X13" s="4"/>
      <c r="Y13" s="4"/>
      <c r="Z13" s="4"/>
      <c r="AA13" s="4"/>
      <c r="AB13" s="4"/>
    </row>
    <row r="14" spans="1:28" ht="15" thickBot="1" x14ac:dyDescent="0.4">
      <c r="A14" t="str">
        <f t="shared" si="0"/>
        <v>NOI000013</v>
      </c>
      <c r="B14" s="6">
        <v>45996</v>
      </c>
      <c r="C14" s="1" t="s">
        <v>71</v>
      </c>
      <c r="D14" s="1">
        <v>49</v>
      </c>
      <c r="E14" s="8" t="s">
        <v>78</v>
      </c>
      <c r="F14" t="s">
        <v>25</v>
      </c>
      <c r="G14" s="1" t="s">
        <v>39</v>
      </c>
      <c r="H14" t="s">
        <v>63</v>
      </c>
      <c r="I14" s="1" t="s">
        <v>44</v>
      </c>
      <c r="J14" s="1" t="s">
        <v>51</v>
      </c>
      <c r="K14" s="1">
        <v>1</v>
      </c>
      <c r="L14" t="s">
        <v>54</v>
      </c>
      <c r="M14" t="s">
        <v>56</v>
      </c>
      <c r="N14" t="s">
        <v>58</v>
      </c>
      <c r="O14" s="1">
        <v>8</v>
      </c>
      <c r="P14" s="1" t="s">
        <v>60</v>
      </c>
      <c r="Q14" s="10">
        <v>0.99</v>
      </c>
      <c r="T14" s="4" t="s">
        <v>29</v>
      </c>
      <c r="U14" s="4"/>
      <c r="V14" s="4"/>
      <c r="W14" s="4"/>
      <c r="X14" s="4"/>
      <c r="Y14" s="4"/>
      <c r="Z14" s="4"/>
      <c r="AA14" s="4"/>
      <c r="AB14" s="4"/>
    </row>
    <row r="15" spans="1:28" ht="15" thickBot="1" x14ac:dyDescent="0.4">
      <c r="A15" t="str">
        <f t="shared" si="0"/>
        <v>NOI000014</v>
      </c>
      <c r="B15" s="6">
        <v>45723</v>
      </c>
      <c r="C15" s="1" t="s">
        <v>65</v>
      </c>
      <c r="D15" s="1">
        <v>10</v>
      </c>
      <c r="E15" s="8" t="s">
        <v>77</v>
      </c>
      <c r="F15" t="s">
        <v>20</v>
      </c>
      <c r="G15" s="1" t="s">
        <v>37</v>
      </c>
      <c r="H15" t="s">
        <v>63</v>
      </c>
      <c r="I15" s="1" t="s">
        <v>42</v>
      </c>
      <c r="J15" s="1" t="s">
        <v>50</v>
      </c>
      <c r="K15" s="1">
        <v>1</v>
      </c>
      <c r="L15" t="s">
        <v>53</v>
      </c>
      <c r="M15" t="s">
        <v>56</v>
      </c>
      <c r="N15" t="s">
        <v>58</v>
      </c>
      <c r="O15" s="1">
        <v>10</v>
      </c>
      <c r="P15" s="1" t="s">
        <v>60</v>
      </c>
      <c r="Q15" s="10">
        <v>0.97</v>
      </c>
      <c r="T15" s="4" t="s">
        <v>30</v>
      </c>
      <c r="U15" s="4"/>
      <c r="V15" s="4"/>
      <c r="W15" s="4"/>
      <c r="X15" s="4"/>
      <c r="Y15" s="4"/>
      <c r="Z15" s="4"/>
      <c r="AA15" s="4"/>
      <c r="AB15" s="4"/>
    </row>
    <row r="16" spans="1:28" ht="15" thickBot="1" x14ac:dyDescent="0.4">
      <c r="A16" t="str">
        <f t="shared" si="0"/>
        <v>NOI000015</v>
      </c>
      <c r="B16" s="6">
        <v>45751</v>
      </c>
      <c r="C16" s="1" t="s">
        <v>68</v>
      </c>
      <c r="D16" s="1">
        <v>14</v>
      </c>
      <c r="E16" s="8" t="s">
        <v>76</v>
      </c>
      <c r="F16" t="s">
        <v>30</v>
      </c>
      <c r="G16" s="1" t="s">
        <v>38</v>
      </c>
      <c r="H16" t="s">
        <v>63</v>
      </c>
      <c r="I16" s="1" t="s">
        <v>44</v>
      </c>
      <c r="J16" s="1" t="s">
        <v>50</v>
      </c>
      <c r="K16" s="1">
        <v>1</v>
      </c>
      <c r="L16" t="s">
        <v>53</v>
      </c>
      <c r="M16" t="s">
        <v>56</v>
      </c>
      <c r="N16" t="s">
        <v>58</v>
      </c>
      <c r="O16" s="1">
        <v>8</v>
      </c>
      <c r="P16" s="1" t="s">
        <v>60</v>
      </c>
      <c r="Q16" s="10">
        <v>0.95</v>
      </c>
      <c r="T16" s="4" t="s">
        <v>31</v>
      </c>
      <c r="U16" s="4"/>
      <c r="V16" s="4"/>
      <c r="W16" s="4"/>
      <c r="X16" s="4"/>
      <c r="Y16" s="4"/>
      <c r="Z16" s="4"/>
      <c r="AA16" s="4"/>
      <c r="AB16" s="4"/>
    </row>
    <row r="17" spans="1:28" ht="15" thickBot="1" x14ac:dyDescent="0.4">
      <c r="A17" t="str">
        <f t="shared" si="0"/>
        <v>NOI000016</v>
      </c>
      <c r="B17" s="6">
        <v>45924</v>
      </c>
      <c r="C17" s="1" t="s">
        <v>72</v>
      </c>
      <c r="D17" s="1">
        <v>39</v>
      </c>
      <c r="E17" s="8" t="s">
        <v>79</v>
      </c>
      <c r="F17" t="s">
        <v>20</v>
      </c>
      <c r="G17" s="1" t="s">
        <v>39</v>
      </c>
      <c r="H17" t="s">
        <v>63</v>
      </c>
      <c r="I17" s="1" t="s">
        <v>43</v>
      </c>
      <c r="J17" s="1" t="s">
        <v>51</v>
      </c>
      <c r="K17" s="1">
        <v>1</v>
      </c>
      <c r="L17" t="s">
        <v>54</v>
      </c>
      <c r="M17" t="s">
        <v>56</v>
      </c>
      <c r="N17" t="s">
        <v>58</v>
      </c>
      <c r="O17" s="1">
        <v>6</v>
      </c>
      <c r="P17" s="1" t="s">
        <v>60</v>
      </c>
      <c r="Q17" s="10">
        <v>0.94</v>
      </c>
      <c r="T17" s="4" t="s">
        <v>32</v>
      </c>
      <c r="U17" s="4"/>
      <c r="V17" s="4"/>
      <c r="W17" s="4"/>
      <c r="X17" s="4"/>
      <c r="Y17" s="4"/>
      <c r="Z17" s="4"/>
      <c r="AA17" s="4"/>
      <c r="AB17" s="4"/>
    </row>
    <row r="18" spans="1:28" ht="15" thickBot="1" x14ac:dyDescent="0.4">
      <c r="A18" t="str">
        <f t="shared" si="0"/>
        <v>NOI000017</v>
      </c>
      <c r="B18" s="6">
        <v>45953</v>
      </c>
      <c r="C18" s="1" t="s">
        <v>66</v>
      </c>
      <c r="D18" s="1">
        <v>43</v>
      </c>
      <c r="E18" s="8" t="s">
        <v>78</v>
      </c>
      <c r="F18" t="s">
        <v>23</v>
      </c>
      <c r="G18" s="1" t="s">
        <v>41</v>
      </c>
      <c r="H18" t="s">
        <v>62</v>
      </c>
      <c r="I18" s="1" t="s">
        <v>43</v>
      </c>
      <c r="J18" s="1" t="s">
        <v>51</v>
      </c>
      <c r="K18" s="1">
        <v>1</v>
      </c>
      <c r="L18" t="s">
        <v>54</v>
      </c>
      <c r="M18" t="s">
        <v>57</v>
      </c>
      <c r="N18" t="s">
        <v>58</v>
      </c>
      <c r="O18" s="1">
        <v>6</v>
      </c>
      <c r="P18" s="1" t="s">
        <v>60</v>
      </c>
      <c r="Q18" s="10">
        <v>0.96</v>
      </c>
      <c r="T18" s="4" t="s">
        <v>33</v>
      </c>
      <c r="U18" s="4"/>
      <c r="V18" s="4"/>
      <c r="W18" s="4"/>
      <c r="X18" s="4"/>
      <c r="Y18" s="4"/>
      <c r="Z18" s="4"/>
      <c r="AA18" s="4"/>
      <c r="AB18" s="4"/>
    </row>
    <row r="19" spans="1:28" ht="15" thickBot="1" x14ac:dyDescent="0.4">
      <c r="A19" t="str">
        <f t="shared" si="0"/>
        <v>NOI000018</v>
      </c>
      <c r="B19" s="6">
        <v>45682</v>
      </c>
      <c r="C19" s="1" t="s">
        <v>67</v>
      </c>
      <c r="D19" s="1">
        <v>4</v>
      </c>
      <c r="E19" s="8" t="s">
        <v>77</v>
      </c>
      <c r="F19" t="s">
        <v>30</v>
      </c>
      <c r="G19" s="1" t="s">
        <v>38</v>
      </c>
      <c r="H19" t="s">
        <v>62</v>
      </c>
      <c r="I19" s="1" t="s">
        <v>43</v>
      </c>
      <c r="J19" s="1" t="s">
        <v>51</v>
      </c>
      <c r="K19" s="1">
        <v>1</v>
      </c>
      <c r="L19" t="s">
        <v>54</v>
      </c>
      <c r="M19" t="s">
        <v>56</v>
      </c>
      <c r="N19" t="s">
        <v>58</v>
      </c>
      <c r="O19" s="1">
        <v>9</v>
      </c>
      <c r="P19" s="1" t="s">
        <v>60</v>
      </c>
      <c r="Q19" s="10">
        <v>0.97</v>
      </c>
      <c r="T19" s="4" t="s">
        <v>34</v>
      </c>
      <c r="U19" s="4"/>
      <c r="V19" s="4"/>
      <c r="W19" s="4"/>
      <c r="X19" s="4"/>
      <c r="Y19" s="4"/>
      <c r="Z19" s="4"/>
      <c r="AA19" s="4"/>
      <c r="AB19" s="4"/>
    </row>
    <row r="20" spans="1:28" ht="15" thickBot="1" x14ac:dyDescent="0.4">
      <c r="A20" t="str">
        <f t="shared" si="0"/>
        <v>NOI000019</v>
      </c>
      <c r="B20" s="6">
        <v>45969</v>
      </c>
      <c r="C20" s="1" t="s">
        <v>73</v>
      </c>
      <c r="D20" s="1">
        <v>45</v>
      </c>
      <c r="E20" s="8" t="s">
        <v>78</v>
      </c>
      <c r="F20" t="s">
        <v>28</v>
      </c>
      <c r="G20" s="1" t="s">
        <v>40</v>
      </c>
      <c r="H20" t="s">
        <v>63</v>
      </c>
      <c r="I20" s="1" t="s">
        <v>43</v>
      </c>
      <c r="J20" s="1" t="s">
        <v>51</v>
      </c>
      <c r="K20" s="1">
        <v>1</v>
      </c>
      <c r="L20" t="s">
        <v>54</v>
      </c>
      <c r="M20" t="s">
        <v>56</v>
      </c>
      <c r="N20" t="s">
        <v>58</v>
      </c>
      <c r="O20" s="1">
        <v>6</v>
      </c>
      <c r="P20" s="1" t="s">
        <v>60</v>
      </c>
      <c r="Q20" s="10">
        <v>0.98</v>
      </c>
      <c r="T20" s="4" t="s">
        <v>35</v>
      </c>
      <c r="U20" s="4"/>
      <c r="V20" s="4"/>
      <c r="W20" s="4"/>
      <c r="X20" s="4"/>
      <c r="Y20" s="4"/>
      <c r="Z20" s="4"/>
      <c r="AA20" s="4"/>
      <c r="AB20" s="4"/>
    </row>
    <row r="21" spans="1:28" ht="15" thickBot="1" x14ac:dyDescent="0.4">
      <c r="A21" t="str">
        <f t="shared" si="0"/>
        <v>NOI000020</v>
      </c>
      <c r="B21" s="6">
        <v>45844</v>
      </c>
      <c r="C21" s="1" t="s">
        <v>70</v>
      </c>
      <c r="D21" s="1">
        <v>28</v>
      </c>
      <c r="E21" s="8" t="s">
        <v>79</v>
      </c>
      <c r="F21" t="s">
        <v>32</v>
      </c>
      <c r="G21" s="1" t="s">
        <v>41</v>
      </c>
      <c r="H21" t="s">
        <v>62</v>
      </c>
      <c r="I21" s="1" t="s">
        <v>47</v>
      </c>
      <c r="J21" s="1" t="s">
        <v>50</v>
      </c>
      <c r="K21" s="1">
        <v>1</v>
      </c>
      <c r="L21" t="s">
        <v>54</v>
      </c>
      <c r="M21" t="s">
        <v>56</v>
      </c>
      <c r="N21" t="s">
        <v>58</v>
      </c>
      <c r="O21" s="1">
        <v>8</v>
      </c>
      <c r="P21" s="1" t="s">
        <v>60</v>
      </c>
      <c r="Q21" s="10">
        <v>0.99</v>
      </c>
      <c r="T21" s="4" t="s">
        <v>36</v>
      </c>
      <c r="U21" s="4"/>
      <c r="V21" s="4"/>
      <c r="W21" s="4"/>
      <c r="X21" s="4"/>
      <c r="Y21" s="4"/>
      <c r="Z21" s="4"/>
      <c r="AA21" s="4"/>
      <c r="AB21" s="4"/>
    </row>
    <row r="22" spans="1:28" x14ac:dyDescent="0.35">
      <c r="A22" t="str">
        <f t="shared" si="0"/>
        <v>NOI000021</v>
      </c>
      <c r="B22" s="6">
        <v>45826</v>
      </c>
      <c r="C22" s="1" t="s">
        <v>64</v>
      </c>
      <c r="D22" s="1">
        <v>25</v>
      </c>
      <c r="E22" s="8" t="s">
        <v>76</v>
      </c>
      <c r="F22" t="s">
        <v>17</v>
      </c>
      <c r="G22" s="1" t="s">
        <v>40</v>
      </c>
      <c r="H22" t="s">
        <v>62</v>
      </c>
      <c r="I22" s="1" t="s">
        <v>44</v>
      </c>
      <c r="J22" s="1" t="s">
        <v>51</v>
      </c>
      <c r="K22" s="1">
        <v>1</v>
      </c>
      <c r="L22" t="s">
        <v>54</v>
      </c>
      <c r="M22" t="s">
        <v>56</v>
      </c>
      <c r="N22" t="s">
        <v>58</v>
      </c>
      <c r="O22" s="1">
        <v>10</v>
      </c>
      <c r="P22" s="1" t="s">
        <v>60</v>
      </c>
      <c r="Q22" s="10">
        <v>0.98</v>
      </c>
    </row>
    <row r="23" spans="1:28" x14ac:dyDescent="0.35">
      <c r="A23" t="str">
        <f t="shared" si="0"/>
        <v>NOI000022</v>
      </c>
      <c r="B23" s="6">
        <v>45734</v>
      </c>
      <c r="C23" s="1" t="s">
        <v>65</v>
      </c>
      <c r="D23" s="1">
        <v>12</v>
      </c>
      <c r="E23" s="8" t="s">
        <v>77</v>
      </c>
      <c r="F23" t="s">
        <v>24</v>
      </c>
      <c r="G23" s="1" t="s">
        <v>41</v>
      </c>
      <c r="H23" t="s">
        <v>62</v>
      </c>
      <c r="I23" s="1" t="s">
        <v>47</v>
      </c>
      <c r="J23" s="1" t="s">
        <v>50</v>
      </c>
      <c r="K23" s="1">
        <v>1</v>
      </c>
      <c r="L23" t="s">
        <v>54</v>
      </c>
      <c r="M23" t="s">
        <v>56</v>
      </c>
      <c r="N23" t="s">
        <v>59</v>
      </c>
      <c r="O23" s="1">
        <v>10</v>
      </c>
      <c r="P23" s="1" t="s">
        <v>60</v>
      </c>
      <c r="Q23" s="10">
        <v>0.95</v>
      </c>
    </row>
    <row r="24" spans="1:28" x14ac:dyDescent="0.35">
      <c r="A24" t="str">
        <f t="shared" si="0"/>
        <v>NOI000023</v>
      </c>
      <c r="B24" s="6">
        <v>45659</v>
      </c>
      <c r="C24" s="1" t="s">
        <v>67</v>
      </c>
      <c r="D24" s="1">
        <v>1</v>
      </c>
      <c r="E24" s="8" t="s">
        <v>77</v>
      </c>
      <c r="F24" t="s">
        <v>19</v>
      </c>
      <c r="G24" s="1" t="s">
        <v>40</v>
      </c>
      <c r="H24" t="s">
        <v>63</v>
      </c>
      <c r="I24" s="1" t="s">
        <v>44</v>
      </c>
      <c r="J24" s="1" t="s">
        <v>51</v>
      </c>
      <c r="K24" s="1">
        <v>1</v>
      </c>
      <c r="L24" t="s">
        <v>54</v>
      </c>
      <c r="M24" t="s">
        <v>56</v>
      </c>
      <c r="N24" t="s">
        <v>58</v>
      </c>
      <c r="O24" s="1">
        <v>9</v>
      </c>
      <c r="P24" s="1" t="s">
        <v>60</v>
      </c>
      <c r="Q24" s="10">
        <v>0.96</v>
      </c>
    </row>
    <row r="25" spans="1:28" x14ac:dyDescent="0.35">
      <c r="A25" t="str">
        <f t="shared" si="0"/>
        <v>NOI000024</v>
      </c>
      <c r="B25" s="6">
        <v>45937</v>
      </c>
      <c r="C25" s="1" t="s">
        <v>66</v>
      </c>
      <c r="D25" s="1">
        <v>41</v>
      </c>
      <c r="E25" s="8" t="s">
        <v>78</v>
      </c>
      <c r="F25" t="s">
        <v>26</v>
      </c>
      <c r="G25" s="1" t="s">
        <v>37</v>
      </c>
      <c r="H25" t="s">
        <v>63</v>
      </c>
      <c r="I25" s="1" t="s">
        <v>44</v>
      </c>
      <c r="J25" s="1" t="s">
        <v>51</v>
      </c>
      <c r="K25" s="1">
        <v>1</v>
      </c>
      <c r="L25" t="s">
        <v>53</v>
      </c>
      <c r="M25" t="s">
        <v>56</v>
      </c>
      <c r="N25" t="s">
        <v>58</v>
      </c>
      <c r="O25" s="1">
        <v>10</v>
      </c>
      <c r="P25" s="1" t="s">
        <v>60</v>
      </c>
      <c r="Q25" s="10">
        <v>0.96</v>
      </c>
    </row>
    <row r="26" spans="1:28" x14ac:dyDescent="0.35">
      <c r="A26" t="str">
        <f t="shared" si="0"/>
        <v>NOI000025</v>
      </c>
      <c r="B26" s="6">
        <v>45860</v>
      </c>
      <c r="C26" s="1" t="s">
        <v>70</v>
      </c>
      <c r="D26" s="1">
        <v>30</v>
      </c>
      <c r="E26" s="8" t="s">
        <v>79</v>
      </c>
      <c r="F26" t="s">
        <v>25</v>
      </c>
      <c r="G26" s="1" t="s">
        <v>40</v>
      </c>
      <c r="H26" t="s">
        <v>62</v>
      </c>
      <c r="I26" s="1" t="s">
        <v>49</v>
      </c>
      <c r="J26" s="1" t="s">
        <v>50</v>
      </c>
      <c r="K26" s="1">
        <v>1</v>
      </c>
      <c r="L26" t="s">
        <v>54</v>
      </c>
      <c r="M26" t="s">
        <v>56</v>
      </c>
      <c r="N26" t="s">
        <v>58</v>
      </c>
      <c r="O26" s="1">
        <v>10</v>
      </c>
      <c r="P26" s="1" t="s">
        <v>60</v>
      </c>
      <c r="Q26" s="10">
        <v>0.94</v>
      </c>
    </row>
    <row r="27" spans="1:28" x14ac:dyDescent="0.35">
      <c r="A27" t="str">
        <f t="shared" si="0"/>
        <v>NOI000026</v>
      </c>
      <c r="B27" s="6">
        <v>45730</v>
      </c>
      <c r="C27" s="1" t="s">
        <v>65</v>
      </c>
      <c r="D27" s="1">
        <v>11</v>
      </c>
      <c r="E27" s="8" t="s">
        <v>77</v>
      </c>
      <c r="F27" t="s">
        <v>28</v>
      </c>
      <c r="G27" s="1" t="s">
        <v>41</v>
      </c>
      <c r="H27" t="s">
        <v>62</v>
      </c>
      <c r="I27" s="1" t="s">
        <v>44</v>
      </c>
      <c r="J27" s="1" t="s">
        <v>50</v>
      </c>
      <c r="K27" s="1">
        <v>1</v>
      </c>
      <c r="L27" t="s">
        <v>53</v>
      </c>
      <c r="M27" t="s">
        <v>56</v>
      </c>
      <c r="N27" t="s">
        <v>58</v>
      </c>
      <c r="O27" s="1">
        <v>8</v>
      </c>
      <c r="P27" s="1" t="s">
        <v>60</v>
      </c>
      <c r="Q27" s="10">
        <v>0.99</v>
      </c>
    </row>
    <row r="28" spans="1:28" x14ac:dyDescent="0.35">
      <c r="A28" t="str">
        <f t="shared" si="0"/>
        <v>NOI000027</v>
      </c>
      <c r="B28" s="6">
        <v>45901</v>
      </c>
      <c r="C28" s="1" t="s">
        <v>72</v>
      </c>
      <c r="D28" s="1">
        <v>36</v>
      </c>
      <c r="E28" s="8" t="s">
        <v>79</v>
      </c>
      <c r="F28" t="s">
        <v>18</v>
      </c>
      <c r="G28" s="1" t="s">
        <v>40</v>
      </c>
      <c r="H28" t="s">
        <v>62</v>
      </c>
      <c r="I28" s="1" t="s">
        <v>45</v>
      </c>
      <c r="J28" s="1" t="s">
        <v>51</v>
      </c>
      <c r="K28" s="1">
        <v>1</v>
      </c>
      <c r="L28" t="s">
        <v>54</v>
      </c>
      <c r="M28" t="s">
        <v>56</v>
      </c>
      <c r="N28" t="s">
        <v>58</v>
      </c>
      <c r="O28" s="1">
        <v>6</v>
      </c>
      <c r="P28" s="1" t="s">
        <v>60</v>
      </c>
      <c r="Q28" s="10">
        <v>0.96</v>
      </c>
    </row>
    <row r="29" spans="1:28" x14ac:dyDescent="0.35">
      <c r="A29" t="str">
        <f t="shared" si="0"/>
        <v>NOI000028</v>
      </c>
      <c r="B29" s="6">
        <v>45833</v>
      </c>
      <c r="C29" s="1" t="s">
        <v>64</v>
      </c>
      <c r="D29" s="1">
        <v>26</v>
      </c>
      <c r="E29" s="8" t="s">
        <v>76</v>
      </c>
      <c r="F29" t="s">
        <v>35</v>
      </c>
      <c r="G29" s="1" t="s">
        <v>39</v>
      </c>
      <c r="H29" t="s">
        <v>62</v>
      </c>
      <c r="I29" s="1" t="s">
        <v>43</v>
      </c>
      <c r="J29" s="1" t="s">
        <v>50</v>
      </c>
      <c r="K29" s="1">
        <v>1</v>
      </c>
      <c r="L29" t="s">
        <v>54</v>
      </c>
      <c r="M29" t="s">
        <v>56</v>
      </c>
      <c r="N29" t="s">
        <v>58</v>
      </c>
      <c r="O29" s="1">
        <v>8</v>
      </c>
      <c r="P29" s="1" t="s">
        <v>60</v>
      </c>
      <c r="Q29" s="10">
        <v>0.98</v>
      </c>
    </row>
    <row r="30" spans="1:28" x14ac:dyDescent="0.35">
      <c r="A30" t="str">
        <f t="shared" si="0"/>
        <v>NOI000029</v>
      </c>
      <c r="B30" s="6">
        <v>45970</v>
      </c>
      <c r="C30" s="1" t="s">
        <v>73</v>
      </c>
      <c r="D30" s="1">
        <v>46</v>
      </c>
      <c r="E30" s="8" t="s">
        <v>78</v>
      </c>
      <c r="F30" t="s">
        <v>24</v>
      </c>
      <c r="G30" s="1" t="s">
        <v>39</v>
      </c>
      <c r="H30" t="s">
        <v>62</v>
      </c>
      <c r="I30" s="1" t="s">
        <v>44</v>
      </c>
      <c r="J30" s="1" t="s">
        <v>50</v>
      </c>
      <c r="K30" s="1">
        <v>1</v>
      </c>
      <c r="L30" t="s">
        <v>53</v>
      </c>
      <c r="M30" t="s">
        <v>56</v>
      </c>
      <c r="N30" t="s">
        <v>59</v>
      </c>
      <c r="O30" s="1">
        <v>8</v>
      </c>
      <c r="P30" s="1" t="s">
        <v>60</v>
      </c>
      <c r="Q30" s="10">
        <v>0.94</v>
      </c>
    </row>
    <row r="31" spans="1:28" x14ac:dyDescent="0.35">
      <c r="A31" t="str">
        <f t="shared" si="0"/>
        <v>NOI000030</v>
      </c>
      <c r="B31" s="6">
        <v>45856</v>
      </c>
      <c r="C31" s="1" t="s">
        <v>70</v>
      </c>
      <c r="D31" s="1">
        <v>29</v>
      </c>
      <c r="E31" s="8" t="s">
        <v>79</v>
      </c>
      <c r="F31" t="s">
        <v>28</v>
      </c>
      <c r="G31" s="1" t="s">
        <v>39</v>
      </c>
      <c r="H31" t="s">
        <v>62</v>
      </c>
      <c r="I31" s="1" t="s">
        <v>44</v>
      </c>
      <c r="J31" s="1" t="s">
        <v>50</v>
      </c>
      <c r="K31" s="1">
        <v>1</v>
      </c>
      <c r="L31" t="s">
        <v>54</v>
      </c>
      <c r="M31" t="s">
        <v>56</v>
      </c>
      <c r="N31" t="s">
        <v>58</v>
      </c>
      <c r="O31" s="1">
        <v>8</v>
      </c>
      <c r="P31" s="1" t="s">
        <v>60</v>
      </c>
      <c r="Q31" s="10">
        <v>0.96</v>
      </c>
    </row>
    <row r="32" spans="1:28" x14ac:dyDescent="0.35">
      <c r="A32" t="str">
        <f t="shared" si="0"/>
        <v>NOI000031</v>
      </c>
      <c r="B32" s="6">
        <v>45671</v>
      </c>
      <c r="C32" s="1" t="s">
        <v>67</v>
      </c>
      <c r="D32" s="1">
        <v>3</v>
      </c>
      <c r="E32" s="8" t="s">
        <v>77</v>
      </c>
      <c r="F32" t="s">
        <v>31</v>
      </c>
      <c r="G32" s="1" t="s">
        <v>38</v>
      </c>
      <c r="H32" t="s">
        <v>62</v>
      </c>
      <c r="I32" s="1" t="s">
        <v>47</v>
      </c>
      <c r="J32" s="1" t="s">
        <v>50</v>
      </c>
      <c r="K32" s="1">
        <v>1</v>
      </c>
      <c r="L32" t="s">
        <v>54</v>
      </c>
      <c r="M32" t="s">
        <v>56</v>
      </c>
      <c r="N32" t="s">
        <v>58</v>
      </c>
      <c r="O32" s="1">
        <v>10</v>
      </c>
      <c r="P32" s="1" t="s">
        <v>60</v>
      </c>
      <c r="Q32" s="10">
        <v>0.99</v>
      </c>
    </row>
    <row r="33" spans="1:17" x14ac:dyDescent="0.35">
      <c r="A33" t="str">
        <f t="shared" si="0"/>
        <v>NOI000032</v>
      </c>
      <c r="B33" s="6">
        <v>45753</v>
      </c>
      <c r="C33" s="1" t="s">
        <v>68</v>
      </c>
      <c r="D33" s="1">
        <v>15</v>
      </c>
      <c r="E33" s="8" t="s">
        <v>76</v>
      </c>
      <c r="F33" t="s">
        <v>18</v>
      </c>
      <c r="G33" s="1" t="s">
        <v>38</v>
      </c>
      <c r="H33" t="s">
        <v>63</v>
      </c>
      <c r="I33" s="1" t="s">
        <v>44</v>
      </c>
      <c r="J33" s="1" t="s">
        <v>51</v>
      </c>
      <c r="K33" s="1">
        <v>1</v>
      </c>
      <c r="L33" t="s">
        <v>54</v>
      </c>
      <c r="M33" t="s">
        <v>57</v>
      </c>
      <c r="N33" t="s">
        <v>58</v>
      </c>
      <c r="O33" s="1">
        <v>10</v>
      </c>
      <c r="P33" s="1" t="s">
        <v>60</v>
      </c>
      <c r="Q33" s="10">
        <v>0.96</v>
      </c>
    </row>
    <row r="34" spans="1:17" x14ac:dyDescent="0.35">
      <c r="A34" t="str">
        <f t="shared" si="0"/>
        <v>NOI000033</v>
      </c>
      <c r="B34" s="6">
        <v>45971</v>
      </c>
      <c r="C34" s="1" t="s">
        <v>73</v>
      </c>
      <c r="D34" s="1">
        <v>46</v>
      </c>
      <c r="E34" s="8" t="s">
        <v>78</v>
      </c>
      <c r="F34" t="s">
        <v>28</v>
      </c>
      <c r="G34" s="1" t="s">
        <v>41</v>
      </c>
      <c r="H34" t="s">
        <v>63</v>
      </c>
      <c r="I34" s="1" t="s">
        <v>47</v>
      </c>
      <c r="J34" s="1" t="s">
        <v>50</v>
      </c>
      <c r="K34" s="1">
        <v>1</v>
      </c>
      <c r="L34" t="s">
        <v>53</v>
      </c>
      <c r="M34" t="s">
        <v>56</v>
      </c>
      <c r="N34" t="s">
        <v>58</v>
      </c>
      <c r="O34" s="1">
        <v>9</v>
      </c>
      <c r="P34" s="1" t="s">
        <v>61</v>
      </c>
      <c r="Q34" s="10">
        <v>0.98</v>
      </c>
    </row>
    <row r="35" spans="1:17" x14ac:dyDescent="0.35">
      <c r="A35" t="str">
        <f t="shared" si="0"/>
        <v>NOI000034</v>
      </c>
      <c r="B35" s="6">
        <v>45756</v>
      </c>
      <c r="C35" s="1" t="s">
        <v>68</v>
      </c>
      <c r="D35" s="1">
        <v>15</v>
      </c>
      <c r="E35" s="8" t="s">
        <v>76</v>
      </c>
      <c r="F35" t="s">
        <v>28</v>
      </c>
      <c r="G35" s="1" t="s">
        <v>41</v>
      </c>
      <c r="H35" t="s">
        <v>62</v>
      </c>
      <c r="I35" s="1" t="s">
        <v>43</v>
      </c>
      <c r="J35" s="1" t="s">
        <v>50</v>
      </c>
      <c r="K35" s="1">
        <v>1</v>
      </c>
      <c r="L35" t="s">
        <v>54</v>
      </c>
      <c r="M35" t="s">
        <v>56</v>
      </c>
      <c r="N35" t="s">
        <v>58</v>
      </c>
      <c r="O35" s="1">
        <v>7</v>
      </c>
      <c r="P35" s="1" t="s">
        <v>60</v>
      </c>
      <c r="Q35" s="10">
        <v>0.96</v>
      </c>
    </row>
    <row r="36" spans="1:17" x14ac:dyDescent="0.35">
      <c r="A36" t="str">
        <f t="shared" si="0"/>
        <v>NOI000035</v>
      </c>
      <c r="B36" s="6">
        <v>45768</v>
      </c>
      <c r="C36" s="1" t="s">
        <v>68</v>
      </c>
      <c r="D36" s="1">
        <v>17</v>
      </c>
      <c r="E36" s="8" t="s">
        <v>76</v>
      </c>
      <c r="F36" t="s">
        <v>17</v>
      </c>
      <c r="G36" s="1" t="s">
        <v>37</v>
      </c>
      <c r="H36" t="s">
        <v>62</v>
      </c>
      <c r="I36" s="1" t="s">
        <v>48</v>
      </c>
      <c r="J36" s="1" t="s">
        <v>51</v>
      </c>
      <c r="K36" s="1">
        <v>1</v>
      </c>
      <c r="L36" t="s">
        <v>53</v>
      </c>
      <c r="M36" t="s">
        <v>56</v>
      </c>
      <c r="N36" t="s">
        <v>58</v>
      </c>
      <c r="O36" s="1">
        <v>6</v>
      </c>
      <c r="P36" s="1" t="s">
        <v>60</v>
      </c>
      <c r="Q36" s="10">
        <v>0.94</v>
      </c>
    </row>
    <row r="37" spans="1:17" x14ac:dyDescent="0.35">
      <c r="A37" t="str">
        <f t="shared" si="0"/>
        <v>NOI000036</v>
      </c>
      <c r="B37" s="6">
        <v>45888</v>
      </c>
      <c r="C37" s="1" t="s">
        <v>74</v>
      </c>
      <c r="D37" s="1">
        <v>34</v>
      </c>
      <c r="E37" s="8" t="s">
        <v>79</v>
      </c>
      <c r="F37" t="s">
        <v>30</v>
      </c>
      <c r="G37" s="1" t="s">
        <v>38</v>
      </c>
      <c r="H37" t="s">
        <v>63</v>
      </c>
      <c r="I37" s="1" t="s">
        <v>45</v>
      </c>
      <c r="J37" s="1" t="s">
        <v>50</v>
      </c>
      <c r="K37" s="1">
        <v>1</v>
      </c>
      <c r="L37" t="s">
        <v>54</v>
      </c>
      <c r="M37" t="s">
        <v>56</v>
      </c>
      <c r="N37" t="s">
        <v>58</v>
      </c>
      <c r="O37" s="1">
        <v>8</v>
      </c>
      <c r="P37" s="1" t="s">
        <v>60</v>
      </c>
      <c r="Q37" s="10">
        <v>0.95</v>
      </c>
    </row>
    <row r="38" spans="1:17" x14ac:dyDescent="0.35">
      <c r="A38" t="str">
        <f t="shared" si="0"/>
        <v>NOI000037</v>
      </c>
      <c r="B38" s="6">
        <v>45795</v>
      </c>
      <c r="C38" s="1" t="s">
        <v>69</v>
      </c>
      <c r="D38" s="1">
        <v>21</v>
      </c>
      <c r="E38" s="8" t="s">
        <v>76</v>
      </c>
      <c r="F38" t="s">
        <v>25</v>
      </c>
      <c r="G38" s="1" t="s">
        <v>41</v>
      </c>
      <c r="H38" t="s">
        <v>62</v>
      </c>
      <c r="I38" s="1" t="s">
        <v>49</v>
      </c>
      <c r="J38" s="1" t="s">
        <v>50</v>
      </c>
      <c r="K38" s="1">
        <v>1</v>
      </c>
      <c r="L38" t="s">
        <v>54</v>
      </c>
      <c r="M38" t="s">
        <v>56</v>
      </c>
      <c r="N38" t="s">
        <v>58</v>
      </c>
      <c r="O38" s="1">
        <v>9</v>
      </c>
      <c r="P38" s="1" t="s">
        <v>60</v>
      </c>
      <c r="Q38" s="10">
        <v>0.97</v>
      </c>
    </row>
    <row r="39" spans="1:17" x14ac:dyDescent="0.35">
      <c r="A39" t="str">
        <f t="shared" si="0"/>
        <v>NOI000038</v>
      </c>
      <c r="B39" s="6">
        <v>46010</v>
      </c>
      <c r="C39" s="1" t="s">
        <v>71</v>
      </c>
      <c r="D39" s="1">
        <v>51</v>
      </c>
      <c r="E39" s="8" t="s">
        <v>78</v>
      </c>
      <c r="F39" t="s">
        <v>24</v>
      </c>
      <c r="G39" s="1" t="s">
        <v>41</v>
      </c>
      <c r="H39" t="s">
        <v>62</v>
      </c>
      <c r="I39" s="1" t="s">
        <v>43</v>
      </c>
      <c r="J39" s="1" t="s">
        <v>51</v>
      </c>
      <c r="K39" s="1">
        <v>1</v>
      </c>
      <c r="L39" t="s">
        <v>53</v>
      </c>
      <c r="M39" t="s">
        <v>56</v>
      </c>
      <c r="N39" t="s">
        <v>58</v>
      </c>
      <c r="O39" s="1">
        <v>10</v>
      </c>
      <c r="P39" s="1" t="s">
        <v>60</v>
      </c>
      <c r="Q39" s="10">
        <v>0.94</v>
      </c>
    </row>
    <row r="40" spans="1:17" x14ac:dyDescent="0.35">
      <c r="A40" t="str">
        <f t="shared" si="0"/>
        <v>NOI000039</v>
      </c>
      <c r="B40" s="6">
        <v>45878</v>
      </c>
      <c r="C40" s="1" t="s">
        <v>74</v>
      </c>
      <c r="D40" s="1">
        <v>32</v>
      </c>
      <c r="E40" s="8" t="s">
        <v>79</v>
      </c>
      <c r="F40" t="s">
        <v>28</v>
      </c>
      <c r="G40" s="1" t="s">
        <v>39</v>
      </c>
      <c r="H40" t="s">
        <v>62</v>
      </c>
      <c r="I40" s="1" t="s">
        <v>44</v>
      </c>
      <c r="J40" s="1" t="s">
        <v>50</v>
      </c>
      <c r="K40" s="1">
        <v>1</v>
      </c>
      <c r="L40" t="s">
        <v>54</v>
      </c>
      <c r="M40" t="s">
        <v>56</v>
      </c>
      <c r="N40" t="s">
        <v>58</v>
      </c>
      <c r="O40" s="1">
        <v>6</v>
      </c>
      <c r="P40" s="1" t="s">
        <v>60</v>
      </c>
      <c r="Q40" s="10">
        <v>0.96</v>
      </c>
    </row>
    <row r="41" spans="1:17" x14ac:dyDescent="0.35">
      <c r="A41" t="str">
        <f t="shared" si="0"/>
        <v>NOI000040</v>
      </c>
      <c r="B41" s="6">
        <v>45683</v>
      </c>
      <c r="C41" s="1" t="s">
        <v>67</v>
      </c>
      <c r="D41" s="1">
        <v>5</v>
      </c>
      <c r="E41" s="8" t="s">
        <v>77</v>
      </c>
      <c r="F41" t="s">
        <v>27</v>
      </c>
      <c r="G41" s="1" t="s">
        <v>37</v>
      </c>
      <c r="H41" t="s">
        <v>62</v>
      </c>
      <c r="I41" s="1" t="s">
        <v>46</v>
      </c>
      <c r="J41" s="1" t="s">
        <v>51</v>
      </c>
      <c r="K41" s="1">
        <v>1</v>
      </c>
      <c r="L41" t="s">
        <v>53</v>
      </c>
      <c r="M41" t="s">
        <v>57</v>
      </c>
      <c r="N41" t="s">
        <v>58</v>
      </c>
      <c r="O41" s="1">
        <v>9</v>
      </c>
      <c r="P41" s="1" t="s">
        <v>60</v>
      </c>
      <c r="Q41" s="10">
        <v>0.97</v>
      </c>
    </row>
    <row r="42" spans="1:17" x14ac:dyDescent="0.35">
      <c r="A42" t="str">
        <f t="shared" si="0"/>
        <v>NOI000041</v>
      </c>
      <c r="B42" s="6">
        <v>45815</v>
      </c>
      <c r="C42" s="1" t="s">
        <v>64</v>
      </c>
      <c r="D42" s="1">
        <v>23</v>
      </c>
      <c r="E42" s="8" t="s">
        <v>76</v>
      </c>
      <c r="F42" t="s">
        <v>29</v>
      </c>
      <c r="G42" s="1" t="s">
        <v>41</v>
      </c>
      <c r="H42" t="s">
        <v>63</v>
      </c>
      <c r="I42" s="1" t="s">
        <v>49</v>
      </c>
      <c r="J42" s="1" t="s">
        <v>50</v>
      </c>
      <c r="K42" s="1">
        <v>1</v>
      </c>
      <c r="L42" t="s">
        <v>53</v>
      </c>
      <c r="M42" t="s">
        <v>56</v>
      </c>
      <c r="N42" t="s">
        <v>58</v>
      </c>
      <c r="O42" s="1">
        <v>7</v>
      </c>
      <c r="P42" s="1" t="s">
        <v>60</v>
      </c>
      <c r="Q42" s="10">
        <v>0.98</v>
      </c>
    </row>
    <row r="43" spans="1:17" x14ac:dyDescent="0.35">
      <c r="A43" t="str">
        <f t="shared" si="0"/>
        <v>NOI000042</v>
      </c>
      <c r="B43" s="6">
        <v>45714</v>
      </c>
      <c r="C43" s="1" t="s">
        <v>75</v>
      </c>
      <c r="D43" s="1">
        <v>9</v>
      </c>
      <c r="E43" s="8" t="s">
        <v>77</v>
      </c>
      <c r="F43" t="s">
        <v>19</v>
      </c>
      <c r="G43" s="1" t="s">
        <v>37</v>
      </c>
      <c r="H43" t="s">
        <v>62</v>
      </c>
      <c r="I43" s="1" t="s">
        <v>45</v>
      </c>
      <c r="J43" s="1" t="s">
        <v>50</v>
      </c>
      <c r="K43" s="1">
        <v>1</v>
      </c>
      <c r="L43" t="s">
        <v>53</v>
      </c>
      <c r="M43" t="s">
        <v>56</v>
      </c>
      <c r="N43" t="s">
        <v>59</v>
      </c>
      <c r="O43" s="1">
        <v>9</v>
      </c>
      <c r="P43" s="1" t="s">
        <v>60</v>
      </c>
      <c r="Q43" s="10">
        <v>0.97</v>
      </c>
    </row>
    <row r="44" spans="1:17" x14ac:dyDescent="0.35">
      <c r="A44" t="str">
        <f t="shared" si="0"/>
        <v>NOI000043</v>
      </c>
      <c r="B44" s="6">
        <v>45988</v>
      </c>
      <c r="C44" s="1" t="s">
        <v>73</v>
      </c>
      <c r="D44" s="1">
        <v>48</v>
      </c>
      <c r="E44" s="8" t="s">
        <v>78</v>
      </c>
      <c r="F44" t="s">
        <v>21</v>
      </c>
      <c r="G44" s="1" t="s">
        <v>37</v>
      </c>
      <c r="H44" t="s">
        <v>62</v>
      </c>
      <c r="I44" s="1" t="s">
        <v>45</v>
      </c>
      <c r="J44" s="1" t="s">
        <v>51</v>
      </c>
      <c r="K44" s="1">
        <v>1</v>
      </c>
      <c r="L44" t="s">
        <v>54</v>
      </c>
      <c r="M44" t="s">
        <v>56</v>
      </c>
      <c r="N44" t="s">
        <v>58</v>
      </c>
      <c r="O44" s="1">
        <v>9</v>
      </c>
      <c r="P44" s="1" t="s">
        <v>60</v>
      </c>
      <c r="Q44" s="10">
        <v>0.95</v>
      </c>
    </row>
    <row r="45" spans="1:17" x14ac:dyDescent="0.35">
      <c r="A45" t="str">
        <f t="shared" si="0"/>
        <v>NOI000044</v>
      </c>
      <c r="B45" s="6">
        <v>45985</v>
      </c>
      <c r="C45" s="1" t="s">
        <v>73</v>
      </c>
      <c r="D45" s="1">
        <v>48</v>
      </c>
      <c r="E45" s="8" t="s">
        <v>78</v>
      </c>
      <c r="F45" t="s">
        <v>33</v>
      </c>
      <c r="G45" s="1" t="s">
        <v>37</v>
      </c>
      <c r="H45" t="s">
        <v>62</v>
      </c>
      <c r="I45" s="1" t="s">
        <v>47</v>
      </c>
      <c r="J45" s="1" t="s">
        <v>51</v>
      </c>
      <c r="K45" s="1">
        <v>1</v>
      </c>
      <c r="L45" t="s">
        <v>54</v>
      </c>
      <c r="M45" t="s">
        <v>56</v>
      </c>
      <c r="N45" t="s">
        <v>58</v>
      </c>
      <c r="O45" s="1">
        <v>8</v>
      </c>
      <c r="P45" s="1" t="s">
        <v>60</v>
      </c>
      <c r="Q45" s="10">
        <v>0.94</v>
      </c>
    </row>
    <row r="46" spans="1:17" x14ac:dyDescent="0.35">
      <c r="A46" t="str">
        <f t="shared" si="0"/>
        <v>NOI000045</v>
      </c>
      <c r="B46" s="6">
        <v>45764</v>
      </c>
      <c r="C46" s="1" t="s">
        <v>68</v>
      </c>
      <c r="D46" s="1">
        <v>16</v>
      </c>
      <c r="E46" s="8" t="s">
        <v>76</v>
      </c>
      <c r="F46" t="s">
        <v>20</v>
      </c>
      <c r="G46" s="1" t="s">
        <v>38</v>
      </c>
      <c r="H46" t="s">
        <v>63</v>
      </c>
      <c r="I46" s="1" t="s">
        <v>43</v>
      </c>
      <c r="J46" s="1" t="s">
        <v>50</v>
      </c>
      <c r="K46" s="1">
        <v>1</v>
      </c>
      <c r="L46" t="s">
        <v>53</v>
      </c>
      <c r="M46" t="s">
        <v>56</v>
      </c>
      <c r="N46" t="s">
        <v>58</v>
      </c>
      <c r="O46" s="1">
        <v>6</v>
      </c>
      <c r="P46" s="1" t="s">
        <v>60</v>
      </c>
      <c r="Q46" s="10">
        <v>0.98</v>
      </c>
    </row>
    <row r="47" spans="1:17" x14ac:dyDescent="0.35">
      <c r="A47" t="str">
        <f t="shared" si="0"/>
        <v>NOI000046</v>
      </c>
      <c r="B47" s="6">
        <v>45754</v>
      </c>
      <c r="C47" s="1" t="s">
        <v>68</v>
      </c>
      <c r="D47" s="1">
        <v>15</v>
      </c>
      <c r="E47" s="8" t="s">
        <v>76</v>
      </c>
      <c r="F47" t="s">
        <v>18</v>
      </c>
      <c r="G47" s="1" t="s">
        <v>37</v>
      </c>
      <c r="H47" t="s">
        <v>62</v>
      </c>
      <c r="I47" s="1" t="s">
        <v>47</v>
      </c>
      <c r="J47" s="1" t="s">
        <v>50</v>
      </c>
      <c r="K47" s="1">
        <v>1</v>
      </c>
      <c r="L47" t="s">
        <v>53</v>
      </c>
      <c r="M47" t="s">
        <v>56</v>
      </c>
      <c r="N47" t="s">
        <v>59</v>
      </c>
      <c r="O47" s="1">
        <v>6</v>
      </c>
      <c r="P47" s="1" t="s">
        <v>60</v>
      </c>
      <c r="Q47" s="10">
        <v>0.97</v>
      </c>
    </row>
    <row r="48" spans="1:17" x14ac:dyDescent="0.35">
      <c r="A48" t="str">
        <f t="shared" si="0"/>
        <v>NOI000047</v>
      </c>
      <c r="B48" s="6">
        <v>45755</v>
      </c>
      <c r="C48" s="1" t="s">
        <v>68</v>
      </c>
      <c r="D48" s="1">
        <v>15</v>
      </c>
      <c r="E48" s="8" t="s">
        <v>76</v>
      </c>
      <c r="F48" t="s">
        <v>28</v>
      </c>
      <c r="G48" s="1" t="s">
        <v>38</v>
      </c>
      <c r="H48" t="s">
        <v>62</v>
      </c>
      <c r="I48" s="1" t="s">
        <v>43</v>
      </c>
      <c r="J48" s="1" t="s">
        <v>51</v>
      </c>
      <c r="K48" s="1">
        <v>1</v>
      </c>
      <c r="L48" t="s">
        <v>53</v>
      </c>
      <c r="M48" t="s">
        <v>56</v>
      </c>
      <c r="N48" t="s">
        <v>59</v>
      </c>
      <c r="O48" s="1">
        <v>8</v>
      </c>
      <c r="P48" s="1" t="s">
        <v>60</v>
      </c>
      <c r="Q48" s="10">
        <v>0.95</v>
      </c>
    </row>
    <row r="49" spans="1:17" x14ac:dyDescent="0.35">
      <c r="A49" t="str">
        <f t="shared" si="0"/>
        <v>NOI000048</v>
      </c>
      <c r="B49" s="6">
        <v>45677</v>
      </c>
      <c r="C49" s="1" t="s">
        <v>67</v>
      </c>
      <c r="D49" s="1">
        <v>4</v>
      </c>
      <c r="E49" s="8" t="s">
        <v>77</v>
      </c>
      <c r="F49" t="s">
        <v>22</v>
      </c>
      <c r="G49" s="1" t="s">
        <v>41</v>
      </c>
      <c r="H49" t="s">
        <v>63</v>
      </c>
      <c r="I49" s="1" t="s">
        <v>46</v>
      </c>
      <c r="J49" s="1" t="s">
        <v>51</v>
      </c>
      <c r="K49" s="1">
        <v>1</v>
      </c>
      <c r="L49" t="s">
        <v>53</v>
      </c>
      <c r="M49" t="s">
        <v>56</v>
      </c>
      <c r="N49" t="s">
        <v>58</v>
      </c>
      <c r="O49" s="1">
        <v>9</v>
      </c>
      <c r="P49" s="1" t="s">
        <v>60</v>
      </c>
      <c r="Q49" s="10">
        <v>0.97</v>
      </c>
    </row>
    <row r="50" spans="1:17" x14ac:dyDescent="0.35">
      <c r="A50" t="str">
        <f t="shared" si="0"/>
        <v>NOI000049</v>
      </c>
      <c r="B50" s="6">
        <v>45821</v>
      </c>
      <c r="C50" s="1" t="s">
        <v>64</v>
      </c>
      <c r="D50" s="1">
        <v>24</v>
      </c>
      <c r="E50" s="8" t="s">
        <v>76</v>
      </c>
      <c r="F50" t="s">
        <v>30</v>
      </c>
      <c r="G50" s="1" t="s">
        <v>37</v>
      </c>
      <c r="H50" t="s">
        <v>63</v>
      </c>
      <c r="I50" s="1" t="s">
        <v>47</v>
      </c>
      <c r="J50" s="1" t="s">
        <v>50</v>
      </c>
      <c r="K50" s="1">
        <v>1</v>
      </c>
      <c r="L50" t="s">
        <v>54</v>
      </c>
      <c r="M50" t="s">
        <v>56</v>
      </c>
      <c r="N50" t="s">
        <v>58</v>
      </c>
      <c r="O50" s="1">
        <v>10</v>
      </c>
      <c r="P50" s="1" t="s">
        <v>60</v>
      </c>
      <c r="Q50" s="10">
        <v>0.99</v>
      </c>
    </row>
    <row r="51" spans="1:17" x14ac:dyDescent="0.35">
      <c r="A51" t="str">
        <f t="shared" si="0"/>
        <v>NOI000050</v>
      </c>
      <c r="B51" s="6">
        <v>45968</v>
      </c>
      <c r="C51" s="1" t="s">
        <v>73</v>
      </c>
      <c r="D51" s="1">
        <v>45</v>
      </c>
      <c r="E51" s="8" t="s">
        <v>78</v>
      </c>
      <c r="F51" t="s">
        <v>35</v>
      </c>
      <c r="G51" s="1" t="s">
        <v>38</v>
      </c>
      <c r="H51" t="s">
        <v>62</v>
      </c>
      <c r="I51" s="1" t="s">
        <v>46</v>
      </c>
      <c r="J51" s="1" t="s">
        <v>51</v>
      </c>
      <c r="K51" s="1">
        <v>1</v>
      </c>
      <c r="L51" t="s">
        <v>53</v>
      </c>
      <c r="M51" t="s">
        <v>56</v>
      </c>
      <c r="N51" t="s">
        <v>58</v>
      </c>
      <c r="O51" s="1">
        <v>10</v>
      </c>
      <c r="P51" s="1" t="s">
        <v>60</v>
      </c>
      <c r="Q51" s="10">
        <v>0.94</v>
      </c>
    </row>
    <row r="52" spans="1:17" x14ac:dyDescent="0.35">
      <c r="A52" t="str">
        <f t="shared" si="0"/>
        <v>NOI000051</v>
      </c>
      <c r="B52" s="6">
        <v>45906</v>
      </c>
      <c r="C52" s="1" t="s">
        <v>72</v>
      </c>
      <c r="D52" s="1">
        <v>36</v>
      </c>
      <c r="E52" s="8" t="s">
        <v>79</v>
      </c>
      <c r="F52" t="s">
        <v>30</v>
      </c>
      <c r="G52" s="1" t="s">
        <v>40</v>
      </c>
      <c r="H52" t="s">
        <v>62</v>
      </c>
      <c r="I52" s="1" t="s">
        <v>45</v>
      </c>
      <c r="J52" s="1" t="s">
        <v>51</v>
      </c>
      <c r="K52" s="1">
        <v>1</v>
      </c>
      <c r="L52" t="s">
        <v>53</v>
      </c>
      <c r="M52" t="s">
        <v>56</v>
      </c>
      <c r="N52" t="s">
        <v>58</v>
      </c>
      <c r="O52" s="1">
        <v>9</v>
      </c>
      <c r="P52" s="1" t="s">
        <v>60</v>
      </c>
      <c r="Q52" s="10">
        <v>0.98</v>
      </c>
    </row>
    <row r="53" spans="1:17" x14ac:dyDescent="0.35">
      <c r="A53" t="str">
        <f t="shared" si="0"/>
        <v>NOI000052</v>
      </c>
      <c r="B53" s="6">
        <v>45984</v>
      </c>
      <c r="C53" s="1" t="s">
        <v>73</v>
      </c>
      <c r="D53" s="1">
        <v>48</v>
      </c>
      <c r="E53" s="8" t="s">
        <v>78</v>
      </c>
      <c r="F53" t="s">
        <v>26</v>
      </c>
      <c r="G53" s="1" t="s">
        <v>37</v>
      </c>
      <c r="H53" t="s">
        <v>62</v>
      </c>
      <c r="I53" s="1" t="s">
        <v>48</v>
      </c>
      <c r="J53" s="1" t="s">
        <v>51</v>
      </c>
      <c r="K53" s="1">
        <v>1</v>
      </c>
      <c r="L53" t="s">
        <v>54</v>
      </c>
      <c r="M53" t="s">
        <v>56</v>
      </c>
      <c r="N53" t="s">
        <v>58</v>
      </c>
      <c r="O53" s="1">
        <v>8</v>
      </c>
      <c r="P53" s="1" t="s">
        <v>60</v>
      </c>
      <c r="Q53" s="10">
        <v>0.97</v>
      </c>
    </row>
    <row r="54" spans="1:17" x14ac:dyDescent="0.35">
      <c r="A54" t="str">
        <f t="shared" si="0"/>
        <v>NOI000053</v>
      </c>
      <c r="B54" s="6">
        <v>45881</v>
      </c>
      <c r="C54" s="1" t="s">
        <v>74</v>
      </c>
      <c r="D54" s="1">
        <v>33</v>
      </c>
      <c r="E54" s="8" t="s">
        <v>79</v>
      </c>
      <c r="F54" t="s">
        <v>36</v>
      </c>
      <c r="G54" s="1" t="s">
        <v>38</v>
      </c>
      <c r="H54" t="s">
        <v>63</v>
      </c>
      <c r="I54" s="1" t="s">
        <v>42</v>
      </c>
      <c r="J54" s="1" t="s">
        <v>50</v>
      </c>
      <c r="K54" s="1">
        <v>1</v>
      </c>
      <c r="L54" t="s">
        <v>53</v>
      </c>
      <c r="M54" t="s">
        <v>56</v>
      </c>
      <c r="N54" t="s">
        <v>58</v>
      </c>
      <c r="O54" s="1">
        <v>9</v>
      </c>
      <c r="P54" s="1" t="s">
        <v>60</v>
      </c>
      <c r="Q54" s="10">
        <v>0.97</v>
      </c>
    </row>
    <row r="55" spans="1:17" x14ac:dyDescent="0.35">
      <c r="A55" t="str">
        <f t="shared" si="0"/>
        <v>NOI000054</v>
      </c>
      <c r="B55" s="6">
        <v>45895</v>
      </c>
      <c r="C55" s="1" t="s">
        <v>74</v>
      </c>
      <c r="D55" s="1">
        <v>35</v>
      </c>
      <c r="E55" s="8" t="s">
        <v>79</v>
      </c>
      <c r="F55" t="s">
        <v>30</v>
      </c>
      <c r="G55" s="1" t="s">
        <v>38</v>
      </c>
      <c r="H55" t="s">
        <v>63</v>
      </c>
      <c r="I55" s="1" t="s">
        <v>48</v>
      </c>
      <c r="J55" s="1" t="s">
        <v>51</v>
      </c>
      <c r="K55" s="1">
        <v>1</v>
      </c>
      <c r="L55" t="s">
        <v>53</v>
      </c>
      <c r="M55" t="s">
        <v>56</v>
      </c>
      <c r="N55" t="s">
        <v>58</v>
      </c>
      <c r="O55" s="1">
        <v>10</v>
      </c>
      <c r="P55" s="1" t="s">
        <v>60</v>
      </c>
      <c r="Q55" s="10">
        <v>0.95</v>
      </c>
    </row>
    <row r="56" spans="1:17" x14ac:dyDescent="0.35">
      <c r="A56" t="str">
        <f t="shared" si="0"/>
        <v>NOI000055</v>
      </c>
      <c r="B56" s="6">
        <v>45698</v>
      </c>
      <c r="C56" s="1" t="s">
        <v>75</v>
      </c>
      <c r="D56" s="1">
        <v>7</v>
      </c>
      <c r="E56" s="8" t="s">
        <v>77</v>
      </c>
      <c r="F56" t="s">
        <v>28</v>
      </c>
      <c r="G56" s="1" t="s">
        <v>37</v>
      </c>
      <c r="H56" t="s">
        <v>63</v>
      </c>
      <c r="I56" s="1" t="s">
        <v>46</v>
      </c>
      <c r="J56" s="1" t="s">
        <v>51</v>
      </c>
      <c r="K56" s="1">
        <v>1</v>
      </c>
      <c r="L56" t="s">
        <v>54</v>
      </c>
      <c r="M56" t="s">
        <v>56</v>
      </c>
      <c r="N56" t="s">
        <v>58</v>
      </c>
      <c r="O56" s="1">
        <v>10</v>
      </c>
      <c r="P56" s="1" t="s">
        <v>60</v>
      </c>
      <c r="Q56" s="10">
        <v>0.95</v>
      </c>
    </row>
    <row r="57" spans="1:17" x14ac:dyDescent="0.35">
      <c r="A57" t="str">
        <f t="shared" si="0"/>
        <v>NOI000056</v>
      </c>
      <c r="B57" s="6">
        <v>45729</v>
      </c>
      <c r="C57" s="1" t="s">
        <v>65</v>
      </c>
      <c r="D57" s="1">
        <v>11</v>
      </c>
      <c r="E57" s="8" t="s">
        <v>77</v>
      </c>
      <c r="F57" t="s">
        <v>21</v>
      </c>
      <c r="G57" s="1" t="s">
        <v>37</v>
      </c>
      <c r="H57" t="s">
        <v>62</v>
      </c>
      <c r="I57" s="1" t="s">
        <v>46</v>
      </c>
      <c r="J57" s="1" t="s">
        <v>51</v>
      </c>
      <c r="K57" s="1">
        <v>1</v>
      </c>
      <c r="L57" t="s">
        <v>54</v>
      </c>
      <c r="M57" t="s">
        <v>56</v>
      </c>
      <c r="N57" t="s">
        <v>58</v>
      </c>
      <c r="O57" s="1">
        <v>6</v>
      </c>
      <c r="P57" s="1" t="s">
        <v>60</v>
      </c>
      <c r="Q57" s="10">
        <v>0.94</v>
      </c>
    </row>
    <row r="58" spans="1:17" x14ac:dyDescent="0.35">
      <c r="A58" t="str">
        <f t="shared" si="0"/>
        <v>NOI000057</v>
      </c>
      <c r="B58" s="6">
        <v>45903</v>
      </c>
      <c r="C58" s="1" t="s">
        <v>72</v>
      </c>
      <c r="D58" s="1">
        <v>36</v>
      </c>
      <c r="E58" s="8" t="s">
        <v>79</v>
      </c>
      <c r="F58" t="s">
        <v>22</v>
      </c>
      <c r="G58" s="1" t="s">
        <v>40</v>
      </c>
      <c r="H58" t="s">
        <v>62</v>
      </c>
      <c r="I58" s="1" t="s">
        <v>45</v>
      </c>
      <c r="J58" s="1" t="s">
        <v>51</v>
      </c>
      <c r="K58" s="1">
        <v>1</v>
      </c>
      <c r="L58" t="s">
        <v>54</v>
      </c>
      <c r="M58" t="s">
        <v>56</v>
      </c>
      <c r="N58" t="s">
        <v>58</v>
      </c>
      <c r="O58" s="1">
        <v>7</v>
      </c>
      <c r="P58" s="1" t="s">
        <v>60</v>
      </c>
      <c r="Q58" s="10">
        <v>0.95</v>
      </c>
    </row>
    <row r="59" spans="1:17" x14ac:dyDescent="0.35">
      <c r="A59" t="str">
        <f t="shared" si="0"/>
        <v>NOI000058</v>
      </c>
      <c r="B59" s="6">
        <v>45741</v>
      </c>
      <c r="C59" s="1" t="s">
        <v>65</v>
      </c>
      <c r="D59" s="1">
        <v>13</v>
      </c>
      <c r="E59" s="8" t="s">
        <v>77</v>
      </c>
      <c r="F59" t="s">
        <v>36</v>
      </c>
      <c r="G59" s="1" t="s">
        <v>41</v>
      </c>
      <c r="H59" t="s">
        <v>63</v>
      </c>
      <c r="I59" s="1" t="s">
        <v>44</v>
      </c>
      <c r="J59" s="1" t="s">
        <v>50</v>
      </c>
      <c r="K59" s="1">
        <v>1</v>
      </c>
      <c r="L59" t="s">
        <v>54</v>
      </c>
      <c r="M59" t="s">
        <v>56</v>
      </c>
      <c r="N59" t="s">
        <v>58</v>
      </c>
      <c r="O59" s="1">
        <v>7</v>
      </c>
      <c r="P59" s="1" t="s">
        <v>60</v>
      </c>
      <c r="Q59" s="10">
        <v>0.95</v>
      </c>
    </row>
    <row r="60" spans="1:17" x14ac:dyDescent="0.35">
      <c r="A60" t="str">
        <f t="shared" si="0"/>
        <v>NOI000059</v>
      </c>
      <c r="B60" s="6">
        <v>45862</v>
      </c>
      <c r="C60" s="1" t="s">
        <v>70</v>
      </c>
      <c r="D60" s="1">
        <v>30</v>
      </c>
      <c r="E60" s="8" t="s">
        <v>79</v>
      </c>
      <c r="F60" t="s">
        <v>35</v>
      </c>
      <c r="G60" s="1" t="s">
        <v>40</v>
      </c>
      <c r="H60" t="s">
        <v>62</v>
      </c>
      <c r="I60" s="1" t="s">
        <v>49</v>
      </c>
      <c r="J60" s="1" t="s">
        <v>50</v>
      </c>
      <c r="K60" s="1">
        <v>1</v>
      </c>
      <c r="L60" t="s">
        <v>53</v>
      </c>
      <c r="M60" t="s">
        <v>56</v>
      </c>
      <c r="N60" t="s">
        <v>58</v>
      </c>
      <c r="O60" s="1">
        <v>6</v>
      </c>
      <c r="P60" s="1" t="s">
        <v>60</v>
      </c>
      <c r="Q60" s="10">
        <v>0.97</v>
      </c>
    </row>
    <row r="61" spans="1:17" x14ac:dyDescent="0.35">
      <c r="A61" t="str">
        <f t="shared" si="0"/>
        <v>NOI000060</v>
      </c>
      <c r="B61" s="6">
        <v>45738</v>
      </c>
      <c r="C61" s="1" t="s">
        <v>65</v>
      </c>
      <c r="D61" s="1">
        <v>12</v>
      </c>
      <c r="E61" s="8" t="s">
        <v>77</v>
      </c>
      <c r="F61" t="s">
        <v>32</v>
      </c>
      <c r="G61" s="1" t="s">
        <v>38</v>
      </c>
      <c r="H61" t="s">
        <v>62</v>
      </c>
      <c r="I61" s="1" t="s">
        <v>48</v>
      </c>
      <c r="J61" s="1" t="s">
        <v>50</v>
      </c>
      <c r="K61" s="1">
        <v>1</v>
      </c>
      <c r="L61" t="s">
        <v>54</v>
      </c>
      <c r="M61" t="s">
        <v>56</v>
      </c>
      <c r="N61" t="s">
        <v>58</v>
      </c>
      <c r="O61" s="1">
        <v>7</v>
      </c>
      <c r="P61" s="1" t="s">
        <v>60</v>
      </c>
      <c r="Q61" s="10">
        <v>0.99</v>
      </c>
    </row>
    <row r="62" spans="1:17" x14ac:dyDescent="0.35">
      <c r="A62" t="str">
        <f t="shared" si="0"/>
        <v>NOI000061</v>
      </c>
      <c r="B62" s="6">
        <v>46015</v>
      </c>
      <c r="C62" s="1" t="s">
        <v>71</v>
      </c>
      <c r="D62" s="1">
        <v>52</v>
      </c>
      <c r="E62" s="8" t="s">
        <v>78</v>
      </c>
      <c r="F62" t="s">
        <v>18</v>
      </c>
      <c r="G62" s="1" t="s">
        <v>40</v>
      </c>
      <c r="H62" t="s">
        <v>63</v>
      </c>
      <c r="I62" s="1" t="s">
        <v>48</v>
      </c>
      <c r="J62" s="1" t="s">
        <v>50</v>
      </c>
      <c r="K62" s="1">
        <v>1</v>
      </c>
      <c r="L62" t="s">
        <v>53</v>
      </c>
      <c r="M62" t="s">
        <v>56</v>
      </c>
      <c r="N62" t="s">
        <v>58</v>
      </c>
      <c r="O62" s="1">
        <v>9</v>
      </c>
      <c r="P62" s="1" t="s">
        <v>60</v>
      </c>
      <c r="Q62" s="10">
        <v>0.96</v>
      </c>
    </row>
    <row r="63" spans="1:17" x14ac:dyDescent="0.35">
      <c r="A63" t="str">
        <f t="shared" si="0"/>
        <v>NOI000062</v>
      </c>
      <c r="B63" s="6">
        <v>45755</v>
      </c>
      <c r="C63" s="1" t="s">
        <v>68</v>
      </c>
      <c r="D63" s="1">
        <v>15</v>
      </c>
      <c r="E63" s="8" t="s">
        <v>76</v>
      </c>
      <c r="F63" t="s">
        <v>29</v>
      </c>
      <c r="G63" s="1" t="s">
        <v>38</v>
      </c>
      <c r="H63" t="s">
        <v>62</v>
      </c>
      <c r="I63" s="1" t="s">
        <v>49</v>
      </c>
      <c r="J63" s="1" t="s">
        <v>50</v>
      </c>
      <c r="K63" s="1">
        <v>1</v>
      </c>
      <c r="L63" t="s">
        <v>53</v>
      </c>
      <c r="M63" t="s">
        <v>56</v>
      </c>
      <c r="N63" t="s">
        <v>58</v>
      </c>
      <c r="O63" s="1">
        <v>6</v>
      </c>
      <c r="P63" s="1" t="s">
        <v>60</v>
      </c>
      <c r="Q63" s="10">
        <v>0.99</v>
      </c>
    </row>
    <row r="64" spans="1:17" x14ac:dyDescent="0.35">
      <c r="A64" t="str">
        <f t="shared" si="0"/>
        <v>NOI000063</v>
      </c>
      <c r="B64" s="6">
        <v>45727</v>
      </c>
      <c r="C64" s="1" t="s">
        <v>65</v>
      </c>
      <c r="D64" s="1">
        <v>11</v>
      </c>
      <c r="E64" s="8" t="s">
        <v>77</v>
      </c>
      <c r="F64" t="s">
        <v>36</v>
      </c>
      <c r="G64" s="1" t="s">
        <v>37</v>
      </c>
      <c r="H64" t="s">
        <v>62</v>
      </c>
      <c r="I64" s="1" t="s">
        <v>43</v>
      </c>
      <c r="J64" s="1" t="s">
        <v>50</v>
      </c>
      <c r="K64" s="1">
        <v>1</v>
      </c>
      <c r="L64" t="s">
        <v>54</v>
      </c>
      <c r="M64" t="s">
        <v>56</v>
      </c>
      <c r="N64" t="s">
        <v>58</v>
      </c>
      <c r="O64" s="1">
        <v>10</v>
      </c>
      <c r="P64" s="1" t="s">
        <v>60</v>
      </c>
      <c r="Q64" s="10">
        <v>0.95</v>
      </c>
    </row>
    <row r="65" spans="1:17" x14ac:dyDescent="0.35">
      <c r="A65" t="str">
        <f t="shared" si="0"/>
        <v>NOI000064</v>
      </c>
      <c r="B65" s="6">
        <v>45911</v>
      </c>
      <c r="C65" s="1" t="s">
        <v>72</v>
      </c>
      <c r="D65" s="1">
        <v>37</v>
      </c>
      <c r="E65" s="8" t="s">
        <v>79</v>
      </c>
      <c r="F65" t="s">
        <v>24</v>
      </c>
      <c r="G65" s="1" t="s">
        <v>38</v>
      </c>
      <c r="H65" t="s">
        <v>62</v>
      </c>
      <c r="I65" s="1" t="s">
        <v>46</v>
      </c>
      <c r="J65" s="1" t="s">
        <v>50</v>
      </c>
      <c r="K65" s="1">
        <v>1</v>
      </c>
      <c r="L65" t="s">
        <v>54</v>
      </c>
      <c r="M65" t="s">
        <v>56</v>
      </c>
      <c r="N65" t="s">
        <v>59</v>
      </c>
      <c r="O65" s="1">
        <v>6</v>
      </c>
      <c r="P65" s="1" t="s">
        <v>60</v>
      </c>
      <c r="Q65" s="10">
        <v>0.97</v>
      </c>
    </row>
    <row r="66" spans="1:17" x14ac:dyDescent="0.35">
      <c r="A66" t="str">
        <f t="shared" ref="A66:A129" si="1">"NOI"&amp;TEXT(ROW()-1,"000000")</f>
        <v>NOI000065</v>
      </c>
      <c r="B66" s="6">
        <v>45697</v>
      </c>
      <c r="C66" s="1" t="s">
        <v>75</v>
      </c>
      <c r="D66" s="1">
        <v>7</v>
      </c>
      <c r="E66" s="8" t="s">
        <v>77</v>
      </c>
      <c r="F66" t="s">
        <v>34</v>
      </c>
      <c r="G66" s="1" t="s">
        <v>38</v>
      </c>
      <c r="H66" t="s">
        <v>62</v>
      </c>
      <c r="I66" s="1" t="s">
        <v>43</v>
      </c>
      <c r="J66" s="1" t="s">
        <v>51</v>
      </c>
      <c r="K66" s="1">
        <v>1</v>
      </c>
      <c r="L66" t="s">
        <v>53</v>
      </c>
      <c r="M66" t="s">
        <v>56</v>
      </c>
      <c r="N66" t="s">
        <v>58</v>
      </c>
      <c r="O66" s="1">
        <v>9</v>
      </c>
      <c r="P66" s="1" t="s">
        <v>60</v>
      </c>
      <c r="Q66" s="10">
        <v>0.94</v>
      </c>
    </row>
    <row r="67" spans="1:17" x14ac:dyDescent="0.35">
      <c r="A67" t="str">
        <f t="shared" si="1"/>
        <v>NOI000066</v>
      </c>
      <c r="B67" s="6">
        <v>45697</v>
      </c>
      <c r="C67" s="1" t="s">
        <v>75</v>
      </c>
      <c r="D67" s="1">
        <v>7</v>
      </c>
      <c r="E67" s="8" t="s">
        <v>77</v>
      </c>
      <c r="F67" t="s">
        <v>31</v>
      </c>
      <c r="G67" s="1" t="s">
        <v>39</v>
      </c>
      <c r="H67" t="s">
        <v>62</v>
      </c>
      <c r="I67" s="1" t="s">
        <v>43</v>
      </c>
      <c r="J67" s="1" t="s">
        <v>50</v>
      </c>
      <c r="K67" s="1">
        <v>1</v>
      </c>
      <c r="L67" t="s">
        <v>54</v>
      </c>
      <c r="M67" t="s">
        <v>56</v>
      </c>
      <c r="N67" t="s">
        <v>58</v>
      </c>
      <c r="O67" s="1">
        <v>9</v>
      </c>
      <c r="P67" s="1" t="s">
        <v>60</v>
      </c>
      <c r="Q67" s="10">
        <v>0.97</v>
      </c>
    </row>
    <row r="68" spans="1:17" x14ac:dyDescent="0.35">
      <c r="A68" t="str">
        <f t="shared" si="1"/>
        <v>NOI000067</v>
      </c>
      <c r="B68" s="6">
        <v>45858</v>
      </c>
      <c r="C68" s="1" t="s">
        <v>70</v>
      </c>
      <c r="D68" s="1">
        <v>30</v>
      </c>
      <c r="E68" s="8" t="s">
        <v>79</v>
      </c>
      <c r="F68" t="s">
        <v>25</v>
      </c>
      <c r="G68" s="1" t="s">
        <v>37</v>
      </c>
      <c r="H68" t="s">
        <v>62</v>
      </c>
      <c r="I68" s="1" t="s">
        <v>46</v>
      </c>
      <c r="J68" s="1" t="s">
        <v>50</v>
      </c>
      <c r="K68" s="1">
        <v>1</v>
      </c>
      <c r="L68" t="s">
        <v>53</v>
      </c>
      <c r="M68" t="s">
        <v>56</v>
      </c>
      <c r="N68" t="s">
        <v>58</v>
      </c>
      <c r="O68" s="1">
        <v>8</v>
      </c>
      <c r="P68" s="1" t="s">
        <v>60</v>
      </c>
      <c r="Q68" s="10">
        <v>0.98</v>
      </c>
    </row>
    <row r="69" spans="1:17" x14ac:dyDescent="0.35">
      <c r="A69" t="str">
        <f t="shared" si="1"/>
        <v>NOI000068</v>
      </c>
      <c r="B69" s="6">
        <v>45916</v>
      </c>
      <c r="C69" s="1" t="s">
        <v>72</v>
      </c>
      <c r="D69" s="1">
        <v>38</v>
      </c>
      <c r="E69" s="8" t="s">
        <v>79</v>
      </c>
      <c r="F69" t="s">
        <v>23</v>
      </c>
      <c r="G69" s="1" t="s">
        <v>38</v>
      </c>
      <c r="H69" t="s">
        <v>63</v>
      </c>
      <c r="I69" s="1" t="s">
        <v>43</v>
      </c>
      <c r="J69" s="1" t="s">
        <v>50</v>
      </c>
      <c r="K69" s="1">
        <v>1</v>
      </c>
      <c r="L69" t="s">
        <v>53</v>
      </c>
      <c r="M69" t="s">
        <v>56</v>
      </c>
      <c r="N69" t="s">
        <v>58</v>
      </c>
      <c r="O69" s="1">
        <v>8</v>
      </c>
      <c r="P69" s="1" t="s">
        <v>60</v>
      </c>
      <c r="Q69" s="10">
        <v>0.99</v>
      </c>
    </row>
    <row r="70" spans="1:17" x14ac:dyDescent="0.35">
      <c r="A70" t="str">
        <f t="shared" si="1"/>
        <v>NOI000069</v>
      </c>
      <c r="B70" s="6">
        <v>45734</v>
      </c>
      <c r="C70" s="1" t="s">
        <v>65</v>
      </c>
      <c r="D70" s="1">
        <v>12</v>
      </c>
      <c r="E70" s="8" t="s">
        <v>77</v>
      </c>
      <c r="F70" t="s">
        <v>33</v>
      </c>
      <c r="G70" s="1" t="s">
        <v>40</v>
      </c>
      <c r="H70" t="s">
        <v>62</v>
      </c>
      <c r="I70" s="1" t="s">
        <v>48</v>
      </c>
      <c r="J70" s="1" t="s">
        <v>51</v>
      </c>
      <c r="K70" s="1">
        <v>1</v>
      </c>
      <c r="L70" t="s">
        <v>53</v>
      </c>
      <c r="M70" t="s">
        <v>56</v>
      </c>
      <c r="N70" t="s">
        <v>59</v>
      </c>
      <c r="O70" s="1">
        <v>9</v>
      </c>
      <c r="P70" s="1" t="s">
        <v>60</v>
      </c>
      <c r="Q70" s="10">
        <v>0.96</v>
      </c>
    </row>
    <row r="71" spans="1:17" x14ac:dyDescent="0.35">
      <c r="A71" t="str">
        <f t="shared" si="1"/>
        <v>NOI000070</v>
      </c>
      <c r="B71" s="6">
        <v>45691</v>
      </c>
      <c r="C71" s="1" t="s">
        <v>75</v>
      </c>
      <c r="D71" s="1">
        <v>6</v>
      </c>
      <c r="E71" s="8" t="s">
        <v>77</v>
      </c>
      <c r="F71" t="s">
        <v>30</v>
      </c>
      <c r="G71" s="1" t="s">
        <v>41</v>
      </c>
      <c r="H71" t="s">
        <v>62</v>
      </c>
      <c r="I71" s="1" t="s">
        <v>47</v>
      </c>
      <c r="J71" s="1" t="s">
        <v>50</v>
      </c>
      <c r="K71" s="1">
        <v>1</v>
      </c>
      <c r="L71" t="s">
        <v>54</v>
      </c>
      <c r="M71" t="s">
        <v>56</v>
      </c>
      <c r="N71" t="s">
        <v>58</v>
      </c>
      <c r="O71" s="1">
        <v>10</v>
      </c>
      <c r="P71" s="1" t="s">
        <v>60</v>
      </c>
      <c r="Q71" s="10">
        <v>0.97</v>
      </c>
    </row>
    <row r="72" spans="1:17" x14ac:dyDescent="0.35">
      <c r="A72" t="str">
        <f t="shared" si="1"/>
        <v>NOI000071</v>
      </c>
      <c r="B72" s="6">
        <v>45968</v>
      </c>
      <c r="C72" s="1" t="s">
        <v>73</v>
      </c>
      <c r="D72" s="1">
        <v>45</v>
      </c>
      <c r="E72" s="8" t="s">
        <v>78</v>
      </c>
      <c r="F72" t="s">
        <v>28</v>
      </c>
      <c r="G72" s="1" t="s">
        <v>37</v>
      </c>
      <c r="H72" t="s">
        <v>62</v>
      </c>
      <c r="I72" s="1" t="s">
        <v>44</v>
      </c>
      <c r="J72" s="1" t="s">
        <v>50</v>
      </c>
      <c r="K72" s="1">
        <v>1</v>
      </c>
      <c r="L72" t="s">
        <v>54</v>
      </c>
      <c r="M72" t="s">
        <v>56</v>
      </c>
      <c r="N72" t="s">
        <v>58</v>
      </c>
      <c r="O72" s="1">
        <v>6</v>
      </c>
      <c r="P72" s="1" t="s">
        <v>60</v>
      </c>
      <c r="Q72" s="10">
        <v>0.95</v>
      </c>
    </row>
    <row r="73" spans="1:17" x14ac:dyDescent="0.35">
      <c r="A73" t="str">
        <f t="shared" si="1"/>
        <v>NOI000072</v>
      </c>
      <c r="B73" s="6">
        <v>45748</v>
      </c>
      <c r="C73" s="1" t="s">
        <v>68</v>
      </c>
      <c r="D73" s="1">
        <v>14</v>
      </c>
      <c r="E73" s="8" t="s">
        <v>76</v>
      </c>
      <c r="F73" t="s">
        <v>28</v>
      </c>
      <c r="G73" s="1" t="s">
        <v>39</v>
      </c>
      <c r="H73" t="s">
        <v>62</v>
      </c>
      <c r="I73" s="1" t="s">
        <v>46</v>
      </c>
      <c r="J73" s="1" t="s">
        <v>51</v>
      </c>
      <c r="K73" s="1">
        <v>1</v>
      </c>
      <c r="L73" t="s">
        <v>53</v>
      </c>
      <c r="M73" t="s">
        <v>56</v>
      </c>
      <c r="N73" t="s">
        <v>58</v>
      </c>
      <c r="O73" s="1">
        <v>6</v>
      </c>
      <c r="P73" s="1" t="s">
        <v>60</v>
      </c>
      <c r="Q73" s="10">
        <v>0.94</v>
      </c>
    </row>
    <row r="74" spans="1:17" x14ac:dyDescent="0.35">
      <c r="A74" t="str">
        <f t="shared" si="1"/>
        <v>NOI000073</v>
      </c>
      <c r="B74" s="6">
        <v>45716</v>
      </c>
      <c r="C74" s="1" t="s">
        <v>75</v>
      </c>
      <c r="D74" s="1">
        <v>9</v>
      </c>
      <c r="E74" s="8" t="s">
        <v>77</v>
      </c>
      <c r="F74" t="s">
        <v>24</v>
      </c>
      <c r="G74" s="1" t="s">
        <v>38</v>
      </c>
      <c r="H74" t="s">
        <v>63</v>
      </c>
      <c r="I74" s="1" t="s">
        <v>47</v>
      </c>
      <c r="J74" s="1" t="s">
        <v>50</v>
      </c>
      <c r="K74" s="1">
        <v>1</v>
      </c>
      <c r="L74" t="s">
        <v>54</v>
      </c>
      <c r="M74" t="s">
        <v>56</v>
      </c>
      <c r="N74" t="s">
        <v>58</v>
      </c>
      <c r="O74" s="1">
        <v>10</v>
      </c>
      <c r="P74" s="1" t="s">
        <v>60</v>
      </c>
      <c r="Q74" s="10">
        <v>0.97</v>
      </c>
    </row>
    <row r="75" spans="1:17" x14ac:dyDescent="0.35">
      <c r="A75" t="str">
        <f t="shared" si="1"/>
        <v>NOI000074</v>
      </c>
      <c r="B75" s="6">
        <v>45787</v>
      </c>
      <c r="C75" s="1" t="s">
        <v>69</v>
      </c>
      <c r="D75" s="1">
        <v>19</v>
      </c>
      <c r="E75" s="8" t="s">
        <v>76</v>
      </c>
      <c r="F75" t="s">
        <v>28</v>
      </c>
      <c r="G75" s="1" t="s">
        <v>41</v>
      </c>
      <c r="H75" t="s">
        <v>63</v>
      </c>
      <c r="I75" s="1" t="s">
        <v>45</v>
      </c>
      <c r="J75" s="1" t="s">
        <v>50</v>
      </c>
      <c r="K75" s="1">
        <v>1</v>
      </c>
      <c r="L75" t="s">
        <v>53</v>
      </c>
      <c r="M75" t="s">
        <v>56</v>
      </c>
      <c r="N75" t="s">
        <v>58</v>
      </c>
      <c r="O75" s="1">
        <v>7</v>
      </c>
      <c r="P75" s="1" t="s">
        <v>60</v>
      </c>
      <c r="Q75" s="10">
        <v>0.99</v>
      </c>
    </row>
    <row r="76" spans="1:17" x14ac:dyDescent="0.35">
      <c r="A76" t="str">
        <f t="shared" si="1"/>
        <v>NOI000075</v>
      </c>
      <c r="B76" s="6">
        <v>45819</v>
      </c>
      <c r="C76" s="1" t="s">
        <v>64</v>
      </c>
      <c r="D76" s="1">
        <v>24</v>
      </c>
      <c r="E76" s="8" t="s">
        <v>76</v>
      </c>
      <c r="F76" t="s">
        <v>19</v>
      </c>
      <c r="G76" s="1" t="s">
        <v>40</v>
      </c>
      <c r="H76" t="s">
        <v>62</v>
      </c>
      <c r="I76" s="1" t="s">
        <v>48</v>
      </c>
      <c r="J76" s="1" t="s">
        <v>51</v>
      </c>
      <c r="K76" s="1">
        <v>1</v>
      </c>
      <c r="L76" t="s">
        <v>54</v>
      </c>
      <c r="M76" t="s">
        <v>56</v>
      </c>
      <c r="N76" t="s">
        <v>59</v>
      </c>
      <c r="O76" s="1">
        <v>7</v>
      </c>
      <c r="P76" s="1" t="s">
        <v>60</v>
      </c>
      <c r="Q76" s="10">
        <v>0.97</v>
      </c>
    </row>
    <row r="77" spans="1:17" x14ac:dyDescent="0.35">
      <c r="A77" t="str">
        <f t="shared" si="1"/>
        <v>NOI000076</v>
      </c>
      <c r="B77" s="6">
        <v>45707</v>
      </c>
      <c r="C77" s="1" t="s">
        <v>75</v>
      </c>
      <c r="D77" s="1">
        <v>8</v>
      </c>
      <c r="E77" s="8" t="s">
        <v>77</v>
      </c>
      <c r="F77" t="s">
        <v>36</v>
      </c>
      <c r="G77" s="1" t="s">
        <v>39</v>
      </c>
      <c r="H77" t="s">
        <v>62</v>
      </c>
      <c r="I77" s="1" t="s">
        <v>49</v>
      </c>
      <c r="J77" s="1" t="s">
        <v>51</v>
      </c>
      <c r="K77" s="1">
        <v>1</v>
      </c>
      <c r="L77" t="s">
        <v>53</v>
      </c>
      <c r="M77" t="s">
        <v>56</v>
      </c>
      <c r="N77" t="s">
        <v>58</v>
      </c>
      <c r="O77" s="1">
        <v>8</v>
      </c>
      <c r="P77" s="1" t="s">
        <v>60</v>
      </c>
      <c r="Q77" s="10">
        <v>0.95</v>
      </c>
    </row>
    <row r="78" spans="1:17" x14ac:dyDescent="0.35">
      <c r="A78" t="str">
        <f t="shared" si="1"/>
        <v>NOI000077</v>
      </c>
      <c r="B78" s="6">
        <v>46000</v>
      </c>
      <c r="C78" s="1" t="s">
        <v>71</v>
      </c>
      <c r="D78" s="1">
        <v>50</v>
      </c>
      <c r="E78" s="8" t="s">
        <v>78</v>
      </c>
      <c r="F78" t="s">
        <v>28</v>
      </c>
      <c r="G78" s="1" t="s">
        <v>39</v>
      </c>
      <c r="H78" t="s">
        <v>62</v>
      </c>
      <c r="I78" s="1" t="s">
        <v>48</v>
      </c>
      <c r="J78" s="1" t="s">
        <v>51</v>
      </c>
      <c r="K78" s="1">
        <v>1</v>
      </c>
      <c r="L78" t="s">
        <v>53</v>
      </c>
      <c r="M78" t="s">
        <v>56</v>
      </c>
      <c r="N78" t="s">
        <v>58</v>
      </c>
      <c r="O78" s="1">
        <v>9</v>
      </c>
      <c r="P78" s="1" t="s">
        <v>60</v>
      </c>
      <c r="Q78" s="10">
        <v>0.96</v>
      </c>
    </row>
    <row r="79" spans="1:17" x14ac:dyDescent="0.35">
      <c r="A79" t="str">
        <f t="shared" si="1"/>
        <v>NOI000078</v>
      </c>
      <c r="B79" s="6">
        <v>45922</v>
      </c>
      <c r="C79" s="1" t="s">
        <v>72</v>
      </c>
      <c r="D79" s="1">
        <v>39</v>
      </c>
      <c r="E79" s="8" t="s">
        <v>79</v>
      </c>
      <c r="F79" t="s">
        <v>28</v>
      </c>
      <c r="G79" s="1" t="s">
        <v>38</v>
      </c>
      <c r="H79" t="s">
        <v>62</v>
      </c>
      <c r="I79" s="1" t="s">
        <v>45</v>
      </c>
      <c r="J79" s="1" t="s">
        <v>51</v>
      </c>
      <c r="K79" s="1">
        <v>1</v>
      </c>
      <c r="L79" t="s">
        <v>54</v>
      </c>
      <c r="M79" t="s">
        <v>56</v>
      </c>
      <c r="N79" t="s">
        <v>58</v>
      </c>
      <c r="O79" s="1">
        <v>8</v>
      </c>
      <c r="P79" s="1" t="s">
        <v>60</v>
      </c>
      <c r="Q79" s="10">
        <v>0.98</v>
      </c>
    </row>
    <row r="80" spans="1:17" x14ac:dyDescent="0.35">
      <c r="A80" t="str">
        <f t="shared" si="1"/>
        <v>NOI000079</v>
      </c>
      <c r="B80" s="6">
        <v>45964</v>
      </c>
      <c r="C80" s="1" t="s">
        <v>73</v>
      </c>
      <c r="D80" s="1">
        <v>45</v>
      </c>
      <c r="E80" s="8" t="s">
        <v>78</v>
      </c>
      <c r="F80" t="s">
        <v>23</v>
      </c>
      <c r="G80" s="1" t="s">
        <v>37</v>
      </c>
      <c r="H80" t="s">
        <v>62</v>
      </c>
      <c r="I80" s="1" t="s">
        <v>48</v>
      </c>
      <c r="J80" s="1" t="s">
        <v>51</v>
      </c>
      <c r="K80" s="1">
        <v>1</v>
      </c>
      <c r="L80" t="s">
        <v>54</v>
      </c>
      <c r="M80" t="s">
        <v>56</v>
      </c>
      <c r="N80" t="s">
        <v>58</v>
      </c>
      <c r="O80" s="1">
        <v>6</v>
      </c>
      <c r="P80" s="1" t="s">
        <v>60</v>
      </c>
      <c r="Q80" s="10">
        <v>0.99</v>
      </c>
    </row>
    <row r="81" spans="1:17" x14ac:dyDescent="0.35">
      <c r="A81" t="str">
        <f t="shared" si="1"/>
        <v>NOI000080</v>
      </c>
      <c r="B81" s="6">
        <v>45750</v>
      </c>
      <c r="C81" s="1" t="s">
        <v>68</v>
      </c>
      <c r="D81" s="1">
        <v>14</v>
      </c>
      <c r="E81" s="8" t="s">
        <v>76</v>
      </c>
      <c r="F81" t="s">
        <v>35</v>
      </c>
      <c r="G81" s="1" t="s">
        <v>41</v>
      </c>
      <c r="H81" t="s">
        <v>62</v>
      </c>
      <c r="I81" s="1" t="s">
        <v>43</v>
      </c>
      <c r="J81" s="1" t="s">
        <v>51</v>
      </c>
      <c r="K81" s="1">
        <v>1</v>
      </c>
      <c r="L81" t="s">
        <v>54</v>
      </c>
      <c r="M81" t="s">
        <v>56</v>
      </c>
      <c r="N81" t="s">
        <v>58</v>
      </c>
      <c r="O81" s="1">
        <v>6</v>
      </c>
      <c r="P81" s="1" t="s">
        <v>60</v>
      </c>
      <c r="Q81" s="10">
        <v>0.98</v>
      </c>
    </row>
    <row r="82" spans="1:17" x14ac:dyDescent="0.35">
      <c r="A82" t="str">
        <f t="shared" si="1"/>
        <v>NOI000081</v>
      </c>
      <c r="B82" s="6">
        <v>45881</v>
      </c>
      <c r="C82" s="1" t="s">
        <v>74</v>
      </c>
      <c r="D82" s="1">
        <v>33</v>
      </c>
      <c r="E82" s="8" t="s">
        <v>79</v>
      </c>
      <c r="F82" t="s">
        <v>22</v>
      </c>
      <c r="G82" s="1" t="s">
        <v>38</v>
      </c>
      <c r="H82" t="s">
        <v>62</v>
      </c>
      <c r="I82" s="1" t="s">
        <v>42</v>
      </c>
      <c r="J82" s="1" t="s">
        <v>50</v>
      </c>
      <c r="K82" s="1">
        <v>1</v>
      </c>
      <c r="L82" t="s">
        <v>54</v>
      </c>
      <c r="M82" t="s">
        <v>56</v>
      </c>
      <c r="N82" t="s">
        <v>58</v>
      </c>
      <c r="O82" s="1">
        <v>9</v>
      </c>
      <c r="P82" s="1" t="s">
        <v>60</v>
      </c>
      <c r="Q82" s="10">
        <v>0.99</v>
      </c>
    </row>
    <row r="83" spans="1:17" x14ac:dyDescent="0.35">
      <c r="A83" t="str">
        <f t="shared" si="1"/>
        <v>NOI000082</v>
      </c>
      <c r="B83" s="6">
        <v>45912</v>
      </c>
      <c r="C83" s="1" t="s">
        <v>72</v>
      </c>
      <c r="D83" s="1">
        <v>37</v>
      </c>
      <c r="E83" s="8" t="s">
        <v>79</v>
      </c>
      <c r="F83" t="s">
        <v>35</v>
      </c>
      <c r="G83" s="1" t="s">
        <v>37</v>
      </c>
      <c r="H83" t="s">
        <v>62</v>
      </c>
      <c r="I83" s="1" t="s">
        <v>48</v>
      </c>
      <c r="J83" s="1" t="s">
        <v>51</v>
      </c>
      <c r="K83" s="1">
        <v>1</v>
      </c>
      <c r="L83" t="s">
        <v>54</v>
      </c>
      <c r="M83" t="s">
        <v>56</v>
      </c>
      <c r="N83" t="s">
        <v>58</v>
      </c>
      <c r="O83" s="1">
        <v>9</v>
      </c>
      <c r="P83" s="1" t="s">
        <v>60</v>
      </c>
      <c r="Q83" s="10">
        <v>0.97</v>
      </c>
    </row>
    <row r="84" spans="1:17" x14ac:dyDescent="0.35">
      <c r="A84" t="str">
        <f t="shared" si="1"/>
        <v>NOI000083</v>
      </c>
      <c r="B84" s="6">
        <v>45753</v>
      </c>
      <c r="C84" s="1" t="s">
        <v>68</v>
      </c>
      <c r="D84" s="1">
        <v>15</v>
      </c>
      <c r="E84" s="8" t="s">
        <v>76</v>
      </c>
      <c r="F84" t="s">
        <v>34</v>
      </c>
      <c r="G84" s="1" t="s">
        <v>37</v>
      </c>
      <c r="H84" t="s">
        <v>62</v>
      </c>
      <c r="I84" s="1" t="s">
        <v>49</v>
      </c>
      <c r="J84" s="1" t="s">
        <v>50</v>
      </c>
      <c r="K84" s="1">
        <v>1</v>
      </c>
      <c r="L84" t="s">
        <v>53</v>
      </c>
      <c r="M84" t="s">
        <v>56</v>
      </c>
      <c r="N84" t="s">
        <v>58</v>
      </c>
      <c r="O84" s="1">
        <v>6</v>
      </c>
      <c r="P84" s="1" t="s">
        <v>60</v>
      </c>
      <c r="Q84" s="10">
        <v>0.96</v>
      </c>
    </row>
    <row r="85" spans="1:17" x14ac:dyDescent="0.35">
      <c r="A85" t="str">
        <f t="shared" si="1"/>
        <v>NOI000084</v>
      </c>
      <c r="B85" s="6">
        <v>46012</v>
      </c>
      <c r="C85" s="1" t="s">
        <v>71</v>
      </c>
      <c r="D85" s="1">
        <v>52</v>
      </c>
      <c r="E85" s="8" t="s">
        <v>78</v>
      </c>
      <c r="F85" t="s">
        <v>34</v>
      </c>
      <c r="G85" s="1" t="s">
        <v>37</v>
      </c>
      <c r="H85" t="s">
        <v>62</v>
      </c>
      <c r="I85" s="1" t="s">
        <v>48</v>
      </c>
      <c r="J85" s="1" t="s">
        <v>51</v>
      </c>
      <c r="K85" s="1">
        <v>1</v>
      </c>
      <c r="L85" t="s">
        <v>54</v>
      </c>
      <c r="M85" t="s">
        <v>56</v>
      </c>
      <c r="N85" t="s">
        <v>58</v>
      </c>
      <c r="O85" s="1">
        <v>8</v>
      </c>
      <c r="P85" s="1" t="s">
        <v>60</v>
      </c>
      <c r="Q85" s="10">
        <v>0.99</v>
      </c>
    </row>
    <row r="86" spans="1:17" x14ac:dyDescent="0.35">
      <c r="A86" t="str">
        <f t="shared" si="1"/>
        <v>NOI000085</v>
      </c>
      <c r="B86" s="6">
        <v>46009</v>
      </c>
      <c r="C86" s="1" t="s">
        <v>71</v>
      </c>
      <c r="D86" s="1">
        <v>51</v>
      </c>
      <c r="E86" s="8" t="s">
        <v>78</v>
      </c>
      <c r="F86" t="s">
        <v>18</v>
      </c>
      <c r="G86" s="1" t="s">
        <v>39</v>
      </c>
      <c r="H86" t="s">
        <v>63</v>
      </c>
      <c r="I86" s="1" t="s">
        <v>49</v>
      </c>
      <c r="J86" s="1" t="s">
        <v>51</v>
      </c>
      <c r="K86" s="1">
        <v>1</v>
      </c>
      <c r="L86" t="s">
        <v>53</v>
      </c>
      <c r="M86" t="s">
        <v>56</v>
      </c>
      <c r="N86" t="s">
        <v>58</v>
      </c>
      <c r="O86" s="1">
        <v>9</v>
      </c>
      <c r="P86" s="1" t="s">
        <v>60</v>
      </c>
      <c r="Q86" s="10">
        <v>0.99</v>
      </c>
    </row>
    <row r="87" spans="1:17" x14ac:dyDescent="0.35">
      <c r="A87" t="str">
        <f t="shared" si="1"/>
        <v>NOI000086</v>
      </c>
      <c r="B87" s="6">
        <v>45908</v>
      </c>
      <c r="C87" s="1" t="s">
        <v>72</v>
      </c>
      <c r="D87" s="1">
        <v>37</v>
      </c>
      <c r="E87" s="8" t="s">
        <v>79</v>
      </c>
      <c r="F87" t="s">
        <v>24</v>
      </c>
      <c r="G87" s="1" t="s">
        <v>38</v>
      </c>
      <c r="H87" t="s">
        <v>62</v>
      </c>
      <c r="I87" s="1" t="s">
        <v>45</v>
      </c>
      <c r="J87" s="1" t="s">
        <v>50</v>
      </c>
      <c r="K87" s="1">
        <v>1</v>
      </c>
      <c r="L87" t="s">
        <v>54</v>
      </c>
      <c r="M87" t="s">
        <v>56</v>
      </c>
      <c r="N87" t="s">
        <v>58</v>
      </c>
      <c r="O87" s="1">
        <v>9</v>
      </c>
      <c r="P87" s="1" t="s">
        <v>60</v>
      </c>
      <c r="Q87" s="10">
        <v>0.94</v>
      </c>
    </row>
    <row r="88" spans="1:17" x14ac:dyDescent="0.35">
      <c r="A88" t="str">
        <f t="shared" si="1"/>
        <v>NOI000087</v>
      </c>
      <c r="B88" s="6">
        <v>45772</v>
      </c>
      <c r="C88" s="1" t="s">
        <v>68</v>
      </c>
      <c r="D88" s="1">
        <v>17</v>
      </c>
      <c r="E88" s="8" t="s">
        <v>76</v>
      </c>
      <c r="F88" t="s">
        <v>18</v>
      </c>
      <c r="G88" s="1" t="s">
        <v>40</v>
      </c>
      <c r="H88" t="s">
        <v>62</v>
      </c>
      <c r="I88" s="1" t="s">
        <v>48</v>
      </c>
      <c r="J88" s="1" t="s">
        <v>51</v>
      </c>
      <c r="K88" s="1">
        <v>1</v>
      </c>
      <c r="L88" t="s">
        <v>54</v>
      </c>
      <c r="M88" t="s">
        <v>56</v>
      </c>
      <c r="N88" t="s">
        <v>58</v>
      </c>
      <c r="O88" s="1">
        <v>8</v>
      </c>
      <c r="P88" s="1" t="s">
        <v>60</v>
      </c>
      <c r="Q88" s="10">
        <v>0.95</v>
      </c>
    </row>
    <row r="89" spans="1:17" x14ac:dyDescent="0.35">
      <c r="A89" t="str">
        <f t="shared" si="1"/>
        <v>NOI000088</v>
      </c>
      <c r="B89" s="6">
        <v>45917</v>
      </c>
      <c r="C89" s="1" t="s">
        <v>72</v>
      </c>
      <c r="D89" s="1">
        <v>38</v>
      </c>
      <c r="E89" s="8" t="s">
        <v>79</v>
      </c>
      <c r="F89" t="s">
        <v>29</v>
      </c>
      <c r="G89" s="1" t="s">
        <v>39</v>
      </c>
      <c r="H89" t="s">
        <v>62</v>
      </c>
      <c r="I89" s="1" t="s">
        <v>43</v>
      </c>
      <c r="J89" s="1" t="s">
        <v>51</v>
      </c>
      <c r="K89" s="1">
        <v>1</v>
      </c>
      <c r="L89" t="s">
        <v>53</v>
      </c>
      <c r="M89" t="s">
        <v>56</v>
      </c>
      <c r="N89" t="s">
        <v>58</v>
      </c>
      <c r="O89" s="1">
        <v>9</v>
      </c>
      <c r="P89" s="1" t="s">
        <v>60</v>
      </c>
      <c r="Q89" s="10">
        <v>0.95</v>
      </c>
    </row>
    <row r="90" spans="1:17" x14ac:dyDescent="0.35">
      <c r="A90" t="str">
        <f t="shared" si="1"/>
        <v>NOI000089</v>
      </c>
      <c r="B90" s="6">
        <v>45785</v>
      </c>
      <c r="C90" s="1" t="s">
        <v>69</v>
      </c>
      <c r="D90" s="1">
        <v>19</v>
      </c>
      <c r="E90" s="8" t="s">
        <v>76</v>
      </c>
      <c r="F90" t="s">
        <v>29</v>
      </c>
      <c r="G90" s="1" t="s">
        <v>39</v>
      </c>
      <c r="H90" t="s">
        <v>62</v>
      </c>
      <c r="I90" s="1" t="s">
        <v>49</v>
      </c>
      <c r="J90" s="1" t="s">
        <v>51</v>
      </c>
      <c r="K90" s="1">
        <v>1</v>
      </c>
      <c r="L90" t="s">
        <v>53</v>
      </c>
      <c r="M90" t="s">
        <v>56</v>
      </c>
      <c r="N90" t="s">
        <v>58</v>
      </c>
      <c r="O90" s="1">
        <v>7</v>
      </c>
      <c r="P90" s="1" t="s">
        <v>60</v>
      </c>
      <c r="Q90" s="10">
        <v>0.96</v>
      </c>
    </row>
    <row r="91" spans="1:17" x14ac:dyDescent="0.35">
      <c r="A91" t="str">
        <f t="shared" si="1"/>
        <v>NOI000090</v>
      </c>
      <c r="B91" s="6">
        <v>45815</v>
      </c>
      <c r="C91" s="1" t="s">
        <v>64</v>
      </c>
      <c r="D91" s="1">
        <v>23</v>
      </c>
      <c r="E91" s="8" t="s">
        <v>76</v>
      </c>
      <c r="F91" t="s">
        <v>18</v>
      </c>
      <c r="G91" s="1" t="s">
        <v>37</v>
      </c>
      <c r="H91" t="s">
        <v>63</v>
      </c>
      <c r="I91" s="1" t="s">
        <v>43</v>
      </c>
      <c r="J91" s="1" t="s">
        <v>51</v>
      </c>
      <c r="K91" s="1">
        <v>1</v>
      </c>
      <c r="L91" t="s">
        <v>53</v>
      </c>
      <c r="M91" t="s">
        <v>56</v>
      </c>
      <c r="N91" t="s">
        <v>58</v>
      </c>
      <c r="O91" s="1">
        <v>8</v>
      </c>
      <c r="P91" s="1" t="s">
        <v>60</v>
      </c>
      <c r="Q91" s="10">
        <v>0.96</v>
      </c>
    </row>
    <row r="92" spans="1:17" x14ac:dyDescent="0.35">
      <c r="A92" t="str">
        <f t="shared" si="1"/>
        <v>NOI000091</v>
      </c>
      <c r="B92" s="6">
        <v>45795</v>
      </c>
      <c r="C92" s="1" t="s">
        <v>69</v>
      </c>
      <c r="D92" s="1">
        <v>21</v>
      </c>
      <c r="E92" s="8" t="s">
        <v>76</v>
      </c>
      <c r="F92" t="s">
        <v>19</v>
      </c>
      <c r="G92" s="1" t="s">
        <v>38</v>
      </c>
      <c r="H92" t="s">
        <v>62</v>
      </c>
      <c r="I92" s="1" t="s">
        <v>47</v>
      </c>
      <c r="J92" s="1" t="s">
        <v>50</v>
      </c>
      <c r="K92" s="1">
        <v>1</v>
      </c>
      <c r="L92" t="s">
        <v>54</v>
      </c>
      <c r="M92" t="s">
        <v>56</v>
      </c>
      <c r="N92" t="s">
        <v>58</v>
      </c>
      <c r="O92" s="1">
        <v>6</v>
      </c>
      <c r="P92" s="1" t="s">
        <v>60</v>
      </c>
      <c r="Q92" s="10">
        <v>0.97</v>
      </c>
    </row>
    <row r="93" spans="1:17" x14ac:dyDescent="0.35">
      <c r="A93" t="str">
        <f t="shared" si="1"/>
        <v>NOI000092</v>
      </c>
      <c r="B93" s="6">
        <v>46014</v>
      </c>
      <c r="C93" s="1" t="s">
        <v>71</v>
      </c>
      <c r="D93" s="1">
        <v>52</v>
      </c>
      <c r="E93" s="8" t="s">
        <v>78</v>
      </c>
      <c r="F93" t="s">
        <v>35</v>
      </c>
      <c r="G93" s="1" t="s">
        <v>37</v>
      </c>
      <c r="H93" t="s">
        <v>62</v>
      </c>
      <c r="I93" s="1" t="s">
        <v>47</v>
      </c>
      <c r="J93" s="1" t="s">
        <v>51</v>
      </c>
      <c r="K93" s="1">
        <v>1</v>
      </c>
      <c r="L93" t="s">
        <v>53</v>
      </c>
      <c r="M93" t="s">
        <v>56</v>
      </c>
      <c r="N93" t="s">
        <v>59</v>
      </c>
      <c r="O93" s="1">
        <v>7</v>
      </c>
      <c r="P93" s="1" t="s">
        <v>60</v>
      </c>
      <c r="Q93" s="10">
        <v>0.96</v>
      </c>
    </row>
    <row r="94" spans="1:17" x14ac:dyDescent="0.35">
      <c r="A94" t="str">
        <f t="shared" si="1"/>
        <v>NOI000093</v>
      </c>
      <c r="B94" s="6">
        <v>45944</v>
      </c>
      <c r="C94" s="1" t="s">
        <v>66</v>
      </c>
      <c r="D94" s="1">
        <v>42</v>
      </c>
      <c r="E94" s="8" t="s">
        <v>78</v>
      </c>
      <c r="F94" t="s">
        <v>35</v>
      </c>
      <c r="G94" s="1" t="s">
        <v>38</v>
      </c>
      <c r="H94" t="s">
        <v>62</v>
      </c>
      <c r="I94" s="1" t="s">
        <v>49</v>
      </c>
      <c r="J94" s="1" t="s">
        <v>51</v>
      </c>
      <c r="K94" s="1">
        <v>1</v>
      </c>
      <c r="L94" t="s">
        <v>53</v>
      </c>
      <c r="M94" t="s">
        <v>56</v>
      </c>
      <c r="N94" t="s">
        <v>58</v>
      </c>
      <c r="O94" s="1">
        <v>6</v>
      </c>
      <c r="P94" s="1" t="s">
        <v>61</v>
      </c>
      <c r="Q94" s="10">
        <v>0.94</v>
      </c>
    </row>
    <row r="95" spans="1:17" x14ac:dyDescent="0.35">
      <c r="A95" t="str">
        <f t="shared" si="1"/>
        <v>NOI000094</v>
      </c>
      <c r="B95" s="6">
        <v>45812</v>
      </c>
      <c r="C95" s="1" t="s">
        <v>64</v>
      </c>
      <c r="D95" s="1">
        <v>23</v>
      </c>
      <c r="E95" s="8" t="s">
        <v>76</v>
      </c>
      <c r="F95" t="s">
        <v>36</v>
      </c>
      <c r="G95" s="1" t="s">
        <v>37</v>
      </c>
      <c r="H95" t="s">
        <v>62</v>
      </c>
      <c r="I95" s="1" t="s">
        <v>49</v>
      </c>
      <c r="J95" s="1" t="s">
        <v>50</v>
      </c>
      <c r="K95" s="1">
        <v>1</v>
      </c>
      <c r="L95" t="s">
        <v>53</v>
      </c>
      <c r="M95" t="s">
        <v>57</v>
      </c>
      <c r="N95" t="s">
        <v>58</v>
      </c>
      <c r="O95" s="1">
        <v>8</v>
      </c>
      <c r="P95" s="1" t="s">
        <v>60</v>
      </c>
      <c r="Q95" s="10">
        <v>0.98</v>
      </c>
    </row>
    <row r="96" spans="1:17" x14ac:dyDescent="0.35">
      <c r="A96" t="str">
        <f t="shared" si="1"/>
        <v>NOI000095</v>
      </c>
      <c r="B96" s="6">
        <v>45767</v>
      </c>
      <c r="C96" s="1" t="s">
        <v>68</v>
      </c>
      <c r="D96" s="1">
        <v>17</v>
      </c>
      <c r="E96" s="8" t="s">
        <v>76</v>
      </c>
      <c r="F96" t="s">
        <v>26</v>
      </c>
      <c r="G96" s="1" t="s">
        <v>38</v>
      </c>
      <c r="H96" t="s">
        <v>62</v>
      </c>
      <c r="I96" s="1" t="s">
        <v>48</v>
      </c>
      <c r="J96" s="1" t="s">
        <v>50</v>
      </c>
      <c r="K96" s="1">
        <v>1</v>
      </c>
      <c r="L96" t="s">
        <v>53</v>
      </c>
      <c r="M96" t="s">
        <v>57</v>
      </c>
      <c r="N96" t="s">
        <v>58</v>
      </c>
      <c r="O96" s="1">
        <v>6</v>
      </c>
      <c r="P96" s="1" t="s">
        <v>61</v>
      </c>
      <c r="Q96" s="10">
        <v>0.94</v>
      </c>
    </row>
    <row r="97" spans="1:17" x14ac:dyDescent="0.35">
      <c r="A97" t="str">
        <f t="shared" si="1"/>
        <v>NOI000096</v>
      </c>
      <c r="B97" s="6">
        <v>45674</v>
      </c>
      <c r="C97" s="1" t="s">
        <v>67</v>
      </c>
      <c r="D97" s="1">
        <v>3</v>
      </c>
      <c r="E97" s="8" t="s">
        <v>77</v>
      </c>
      <c r="F97" t="s">
        <v>17</v>
      </c>
      <c r="G97" s="1" t="s">
        <v>41</v>
      </c>
      <c r="H97" t="s">
        <v>63</v>
      </c>
      <c r="I97" s="1" t="s">
        <v>49</v>
      </c>
      <c r="J97" s="1" t="s">
        <v>50</v>
      </c>
      <c r="K97" s="1">
        <v>1</v>
      </c>
      <c r="L97" t="s">
        <v>54</v>
      </c>
      <c r="M97" t="s">
        <v>56</v>
      </c>
      <c r="N97" t="s">
        <v>58</v>
      </c>
      <c r="O97" s="1">
        <v>10</v>
      </c>
      <c r="P97" s="1" t="s">
        <v>60</v>
      </c>
      <c r="Q97" s="10">
        <v>0.96</v>
      </c>
    </row>
    <row r="98" spans="1:17" x14ac:dyDescent="0.35">
      <c r="A98" t="str">
        <f t="shared" si="1"/>
        <v>NOI000097</v>
      </c>
      <c r="B98" s="6">
        <v>45934</v>
      </c>
      <c r="C98" s="1" t="s">
        <v>66</v>
      </c>
      <c r="D98" s="1">
        <v>40</v>
      </c>
      <c r="E98" s="8" t="s">
        <v>78</v>
      </c>
      <c r="F98" t="s">
        <v>20</v>
      </c>
      <c r="G98" s="1" t="s">
        <v>40</v>
      </c>
      <c r="H98" t="s">
        <v>62</v>
      </c>
      <c r="I98" s="1" t="s">
        <v>44</v>
      </c>
      <c r="J98" s="1" t="s">
        <v>50</v>
      </c>
      <c r="K98" s="1">
        <v>1</v>
      </c>
      <c r="L98" t="s">
        <v>54</v>
      </c>
      <c r="M98" t="s">
        <v>56</v>
      </c>
      <c r="N98" t="s">
        <v>58</v>
      </c>
      <c r="O98" s="1">
        <v>6</v>
      </c>
      <c r="P98" s="1" t="s">
        <v>60</v>
      </c>
      <c r="Q98" s="10">
        <v>0.99</v>
      </c>
    </row>
    <row r="99" spans="1:17" x14ac:dyDescent="0.35">
      <c r="A99" t="str">
        <f t="shared" si="1"/>
        <v>NOI000098</v>
      </c>
      <c r="B99" s="6">
        <v>45996</v>
      </c>
      <c r="C99" s="1" t="s">
        <v>71</v>
      </c>
      <c r="D99" s="1">
        <v>49</v>
      </c>
      <c r="E99" s="8" t="s">
        <v>78</v>
      </c>
      <c r="F99" t="s">
        <v>24</v>
      </c>
      <c r="G99" s="1" t="s">
        <v>40</v>
      </c>
      <c r="H99" t="s">
        <v>62</v>
      </c>
      <c r="I99" s="1" t="s">
        <v>49</v>
      </c>
      <c r="J99" s="1" t="s">
        <v>51</v>
      </c>
      <c r="K99" s="1">
        <v>1</v>
      </c>
      <c r="L99" t="s">
        <v>54</v>
      </c>
      <c r="M99" t="s">
        <v>56</v>
      </c>
      <c r="N99" t="s">
        <v>58</v>
      </c>
      <c r="O99" s="1">
        <v>6</v>
      </c>
      <c r="P99" s="1" t="s">
        <v>60</v>
      </c>
      <c r="Q99" s="10">
        <v>0.99</v>
      </c>
    </row>
    <row r="100" spans="1:17" x14ac:dyDescent="0.35">
      <c r="A100" t="str">
        <f t="shared" si="1"/>
        <v>NOI000099</v>
      </c>
      <c r="B100" s="6">
        <v>45710</v>
      </c>
      <c r="C100" s="1" t="s">
        <v>75</v>
      </c>
      <c r="D100" s="1">
        <v>8</v>
      </c>
      <c r="E100" s="8" t="s">
        <v>77</v>
      </c>
      <c r="F100" t="s">
        <v>24</v>
      </c>
      <c r="G100" s="1" t="s">
        <v>37</v>
      </c>
      <c r="H100" t="s">
        <v>62</v>
      </c>
      <c r="I100" s="1" t="s">
        <v>46</v>
      </c>
      <c r="J100" s="1" t="s">
        <v>51</v>
      </c>
      <c r="K100" s="1">
        <v>1</v>
      </c>
      <c r="L100" t="s">
        <v>54</v>
      </c>
      <c r="M100" t="s">
        <v>56</v>
      </c>
      <c r="N100" t="s">
        <v>58</v>
      </c>
      <c r="O100" s="1">
        <v>10</v>
      </c>
      <c r="P100" s="1" t="s">
        <v>60</v>
      </c>
      <c r="Q100" s="10">
        <v>0.96</v>
      </c>
    </row>
    <row r="101" spans="1:17" x14ac:dyDescent="0.35">
      <c r="A101" t="str">
        <f t="shared" si="1"/>
        <v>NOI000100</v>
      </c>
      <c r="B101" s="6">
        <v>45781</v>
      </c>
      <c r="C101" s="1" t="s">
        <v>69</v>
      </c>
      <c r="D101" s="1">
        <v>19</v>
      </c>
      <c r="E101" s="8" t="s">
        <v>76</v>
      </c>
      <c r="F101" t="s">
        <v>22</v>
      </c>
      <c r="G101" s="1" t="s">
        <v>40</v>
      </c>
      <c r="H101" t="s">
        <v>62</v>
      </c>
      <c r="I101" s="1" t="s">
        <v>48</v>
      </c>
      <c r="J101" s="1" t="s">
        <v>50</v>
      </c>
      <c r="K101" s="1">
        <v>1</v>
      </c>
      <c r="L101" t="s">
        <v>54</v>
      </c>
      <c r="M101" t="s">
        <v>56</v>
      </c>
      <c r="N101" t="s">
        <v>58</v>
      </c>
      <c r="O101" s="1">
        <v>8</v>
      </c>
      <c r="P101" s="1" t="s">
        <v>61</v>
      </c>
      <c r="Q101" s="10">
        <v>0.97</v>
      </c>
    </row>
    <row r="102" spans="1:17" x14ac:dyDescent="0.35">
      <c r="A102" t="str">
        <f t="shared" si="1"/>
        <v>NOI000101</v>
      </c>
      <c r="B102" s="6">
        <v>45773</v>
      </c>
      <c r="C102" s="1" t="s">
        <v>68</v>
      </c>
      <c r="D102" s="1">
        <v>17</v>
      </c>
      <c r="E102" s="8" t="s">
        <v>76</v>
      </c>
      <c r="F102" t="s">
        <v>35</v>
      </c>
      <c r="G102" s="1" t="s">
        <v>38</v>
      </c>
      <c r="H102" t="s">
        <v>62</v>
      </c>
      <c r="I102" s="1" t="s">
        <v>42</v>
      </c>
      <c r="J102" s="1" t="s">
        <v>50</v>
      </c>
      <c r="K102" s="1">
        <v>1</v>
      </c>
      <c r="L102" t="s">
        <v>53</v>
      </c>
      <c r="M102" t="s">
        <v>56</v>
      </c>
      <c r="N102" t="s">
        <v>58</v>
      </c>
      <c r="O102" s="1">
        <v>7</v>
      </c>
      <c r="P102" s="1" t="s">
        <v>60</v>
      </c>
      <c r="Q102" s="10">
        <v>0.97</v>
      </c>
    </row>
    <row r="103" spans="1:17" x14ac:dyDescent="0.35">
      <c r="A103" t="str">
        <f t="shared" si="1"/>
        <v>NOI000102</v>
      </c>
      <c r="B103" s="6">
        <v>45999</v>
      </c>
      <c r="C103" s="1" t="s">
        <v>71</v>
      </c>
      <c r="D103" s="1">
        <v>50</v>
      </c>
      <c r="E103" s="8" t="s">
        <v>78</v>
      </c>
      <c r="F103" t="s">
        <v>34</v>
      </c>
      <c r="G103" s="1" t="s">
        <v>39</v>
      </c>
      <c r="H103" t="s">
        <v>62</v>
      </c>
      <c r="I103" s="1" t="s">
        <v>49</v>
      </c>
      <c r="J103" s="1" t="s">
        <v>50</v>
      </c>
      <c r="K103" s="1">
        <v>1</v>
      </c>
      <c r="L103" t="s">
        <v>54</v>
      </c>
      <c r="M103" t="s">
        <v>56</v>
      </c>
      <c r="N103" t="s">
        <v>58</v>
      </c>
      <c r="O103" s="1">
        <v>9</v>
      </c>
      <c r="P103" s="1" t="s">
        <v>60</v>
      </c>
      <c r="Q103" s="10">
        <v>0.94</v>
      </c>
    </row>
    <row r="104" spans="1:17" x14ac:dyDescent="0.35">
      <c r="A104" t="str">
        <f t="shared" si="1"/>
        <v>NOI000103</v>
      </c>
      <c r="B104" s="6">
        <v>45753</v>
      </c>
      <c r="C104" s="1" t="s">
        <v>68</v>
      </c>
      <c r="D104" s="1">
        <v>15</v>
      </c>
      <c r="E104" s="8" t="s">
        <v>76</v>
      </c>
      <c r="F104" t="s">
        <v>31</v>
      </c>
      <c r="G104" s="1" t="s">
        <v>41</v>
      </c>
      <c r="H104" t="s">
        <v>63</v>
      </c>
      <c r="I104" s="1" t="s">
        <v>46</v>
      </c>
      <c r="J104" s="1" t="s">
        <v>51</v>
      </c>
      <c r="K104" s="1">
        <v>1</v>
      </c>
      <c r="L104" t="s">
        <v>54</v>
      </c>
      <c r="M104" t="s">
        <v>57</v>
      </c>
      <c r="N104" t="s">
        <v>58</v>
      </c>
      <c r="O104" s="1">
        <v>9</v>
      </c>
      <c r="P104" s="1" t="s">
        <v>60</v>
      </c>
      <c r="Q104" s="10">
        <v>0.94</v>
      </c>
    </row>
    <row r="105" spans="1:17" x14ac:dyDescent="0.35">
      <c r="A105" t="str">
        <f t="shared" si="1"/>
        <v>NOI000104</v>
      </c>
      <c r="B105" s="6">
        <v>45908</v>
      </c>
      <c r="C105" s="1" t="s">
        <v>72</v>
      </c>
      <c r="D105" s="1">
        <v>37</v>
      </c>
      <c r="E105" s="8" t="s">
        <v>79</v>
      </c>
      <c r="F105" t="s">
        <v>18</v>
      </c>
      <c r="G105" s="1" t="s">
        <v>37</v>
      </c>
      <c r="H105" t="s">
        <v>62</v>
      </c>
      <c r="I105" s="1" t="s">
        <v>49</v>
      </c>
      <c r="J105" s="1" t="s">
        <v>51</v>
      </c>
      <c r="K105" s="1">
        <v>1</v>
      </c>
      <c r="L105" t="s">
        <v>54</v>
      </c>
      <c r="M105" t="s">
        <v>56</v>
      </c>
      <c r="N105" t="s">
        <v>58</v>
      </c>
      <c r="O105" s="1">
        <v>10</v>
      </c>
      <c r="P105" s="1" t="s">
        <v>60</v>
      </c>
      <c r="Q105" s="10">
        <v>0.97</v>
      </c>
    </row>
    <row r="106" spans="1:17" x14ac:dyDescent="0.35">
      <c r="A106" t="str">
        <f t="shared" si="1"/>
        <v>NOI000105</v>
      </c>
      <c r="B106" s="6">
        <v>45877</v>
      </c>
      <c r="C106" s="1" t="s">
        <v>74</v>
      </c>
      <c r="D106" s="1">
        <v>32</v>
      </c>
      <c r="E106" s="8" t="s">
        <v>79</v>
      </c>
      <c r="F106" t="s">
        <v>26</v>
      </c>
      <c r="G106" s="1" t="s">
        <v>37</v>
      </c>
      <c r="H106" t="s">
        <v>63</v>
      </c>
      <c r="I106" s="1" t="s">
        <v>43</v>
      </c>
      <c r="J106" s="1" t="s">
        <v>50</v>
      </c>
      <c r="K106" s="1">
        <v>1</v>
      </c>
      <c r="L106" t="s">
        <v>54</v>
      </c>
      <c r="M106" t="s">
        <v>56</v>
      </c>
      <c r="N106" t="s">
        <v>58</v>
      </c>
      <c r="O106" s="1">
        <v>6</v>
      </c>
      <c r="P106" s="1" t="s">
        <v>60</v>
      </c>
      <c r="Q106" s="10">
        <v>0.94</v>
      </c>
    </row>
    <row r="107" spans="1:17" x14ac:dyDescent="0.35">
      <c r="A107" t="str">
        <f t="shared" si="1"/>
        <v>NOI000106</v>
      </c>
      <c r="B107" s="6">
        <v>45955</v>
      </c>
      <c r="C107" s="1" t="s">
        <v>66</v>
      </c>
      <c r="D107" s="1">
        <v>43</v>
      </c>
      <c r="E107" s="8" t="s">
        <v>78</v>
      </c>
      <c r="F107" t="s">
        <v>25</v>
      </c>
      <c r="G107" s="1" t="s">
        <v>38</v>
      </c>
      <c r="H107" t="s">
        <v>62</v>
      </c>
      <c r="I107" s="1" t="s">
        <v>47</v>
      </c>
      <c r="J107" s="1" t="s">
        <v>50</v>
      </c>
      <c r="K107" s="1">
        <v>1</v>
      </c>
      <c r="L107" t="s">
        <v>53</v>
      </c>
      <c r="M107" t="s">
        <v>56</v>
      </c>
      <c r="N107" t="s">
        <v>58</v>
      </c>
      <c r="O107" s="1">
        <v>6</v>
      </c>
      <c r="P107" s="1" t="s">
        <v>60</v>
      </c>
      <c r="Q107" s="10">
        <v>0.98</v>
      </c>
    </row>
    <row r="108" spans="1:17" x14ac:dyDescent="0.35">
      <c r="A108" t="str">
        <f t="shared" si="1"/>
        <v>NOI000107</v>
      </c>
      <c r="B108" s="6">
        <v>45719</v>
      </c>
      <c r="C108" s="1" t="s">
        <v>65</v>
      </c>
      <c r="D108" s="1">
        <v>10</v>
      </c>
      <c r="E108" s="8" t="s">
        <v>77</v>
      </c>
      <c r="F108" t="s">
        <v>28</v>
      </c>
      <c r="G108" s="1" t="s">
        <v>37</v>
      </c>
      <c r="H108" t="s">
        <v>62</v>
      </c>
      <c r="I108" s="1" t="s">
        <v>49</v>
      </c>
      <c r="J108" s="1" t="s">
        <v>51</v>
      </c>
      <c r="K108" s="1">
        <v>1</v>
      </c>
      <c r="L108" t="s">
        <v>54</v>
      </c>
      <c r="M108" t="s">
        <v>56</v>
      </c>
      <c r="N108" t="s">
        <v>58</v>
      </c>
      <c r="O108" s="1">
        <v>6</v>
      </c>
      <c r="P108" s="1" t="s">
        <v>60</v>
      </c>
      <c r="Q108" s="10">
        <v>0.99</v>
      </c>
    </row>
    <row r="109" spans="1:17" x14ac:dyDescent="0.35">
      <c r="A109" t="str">
        <f t="shared" si="1"/>
        <v>NOI000108</v>
      </c>
      <c r="B109" s="6">
        <v>45664</v>
      </c>
      <c r="C109" s="1" t="s">
        <v>67</v>
      </c>
      <c r="D109" s="1">
        <v>2</v>
      </c>
      <c r="E109" s="8" t="s">
        <v>77</v>
      </c>
      <c r="F109" t="s">
        <v>26</v>
      </c>
      <c r="G109" s="1" t="s">
        <v>37</v>
      </c>
      <c r="H109" t="s">
        <v>63</v>
      </c>
      <c r="I109" s="1" t="s">
        <v>46</v>
      </c>
      <c r="J109" s="1" t="s">
        <v>50</v>
      </c>
      <c r="K109" s="1">
        <v>1</v>
      </c>
      <c r="L109" t="s">
        <v>53</v>
      </c>
      <c r="M109" t="s">
        <v>57</v>
      </c>
      <c r="N109" t="s">
        <v>59</v>
      </c>
      <c r="O109" s="1">
        <v>9</v>
      </c>
      <c r="P109" s="1" t="s">
        <v>60</v>
      </c>
      <c r="Q109" s="10">
        <v>0.98</v>
      </c>
    </row>
    <row r="110" spans="1:17" x14ac:dyDescent="0.35">
      <c r="A110" t="str">
        <f t="shared" si="1"/>
        <v>NOI000109</v>
      </c>
      <c r="B110" s="6">
        <v>45681</v>
      </c>
      <c r="C110" s="1" t="s">
        <v>67</v>
      </c>
      <c r="D110" s="1">
        <v>4</v>
      </c>
      <c r="E110" s="8" t="s">
        <v>77</v>
      </c>
      <c r="F110" t="s">
        <v>31</v>
      </c>
      <c r="G110" s="1" t="s">
        <v>40</v>
      </c>
      <c r="H110" t="s">
        <v>62</v>
      </c>
      <c r="I110" s="1" t="s">
        <v>46</v>
      </c>
      <c r="J110" s="1" t="s">
        <v>50</v>
      </c>
      <c r="K110" s="1">
        <v>1</v>
      </c>
      <c r="L110" t="s">
        <v>54</v>
      </c>
      <c r="M110" t="s">
        <v>56</v>
      </c>
      <c r="N110" t="s">
        <v>58</v>
      </c>
      <c r="O110" s="1">
        <v>8</v>
      </c>
      <c r="P110" s="1" t="s">
        <v>60</v>
      </c>
      <c r="Q110" s="10">
        <v>0.97</v>
      </c>
    </row>
    <row r="111" spans="1:17" x14ac:dyDescent="0.35">
      <c r="A111" t="str">
        <f t="shared" si="1"/>
        <v>NOI000110</v>
      </c>
      <c r="B111" s="6">
        <v>45972</v>
      </c>
      <c r="C111" s="1" t="s">
        <v>73</v>
      </c>
      <c r="D111" s="1">
        <v>46</v>
      </c>
      <c r="E111" s="8" t="s">
        <v>78</v>
      </c>
      <c r="F111" t="s">
        <v>17</v>
      </c>
      <c r="G111" s="1" t="s">
        <v>40</v>
      </c>
      <c r="H111" t="s">
        <v>62</v>
      </c>
      <c r="I111" s="1" t="s">
        <v>49</v>
      </c>
      <c r="J111" s="1" t="s">
        <v>51</v>
      </c>
      <c r="K111" s="1">
        <v>1</v>
      </c>
      <c r="L111" t="s">
        <v>54</v>
      </c>
      <c r="M111" t="s">
        <v>56</v>
      </c>
      <c r="N111" t="s">
        <v>58</v>
      </c>
      <c r="O111" s="1">
        <v>7</v>
      </c>
      <c r="P111" s="1" t="s">
        <v>60</v>
      </c>
      <c r="Q111" s="10">
        <v>0.99</v>
      </c>
    </row>
    <row r="112" spans="1:17" x14ac:dyDescent="0.35">
      <c r="A112" t="str">
        <f t="shared" si="1"/>
        <v>NOI000111</v>
      </c>
      <c r="B112" s="6">
        <v>45901</v>
      </c>
      <c r="C112" s="1" t="s">
        <v>72</v>
      </c>
      <c r="D112" s="1">
        <v>36</v>
      </c>
      <c r="E112" s="8" t="s">
        <v>79</v>
      </c>
      <c r="F112" t="s">
        <v>30</v>
      </c>
      <c r="G112" s="1" t="s">
        <v>40</v>
      </c>
      <c r="H112" t="s">
        <v>62</v>
      </c>
      <c r="I112" s="1" t="s">
        <v>42</v>
      </c>
      <c r="J112" s="1" t="s">
        <v>50</v>
      </c>
      <c r="K112" s="1">
        <v>1</v>
      </c>
      <c r="L112" t="s">
        <v>53</v>
      </c>
      <c r="M112" t="s">
        <v>56</v>
      </c>
      <c r="N112" t="s">
        <v>58</v>
      </c>
      <c r="O112" s="1">
        <v>9</v>
      </c>
      <c r="P112" s="1" t="s">
        <v>60</v>
      </c>
      <c r="Q112" s="10">
        <v>0.96</v>
      </c>
    </row>
    <row r="113" spans="1:17" x14ac:dyDescent="0.35">
      <c r="A113" t="str">
        <f t="shared" si="1"/>
        <v>NOI000112</v>
      </c>
      <c r="B113" s="6">
        <v>45763</v>
      </c>
      <c r="C113" s="1" t="s">
        <v>68</v>
      </c>
      <c r="D113" s="1">
        <v>16</v>
      </c>
      <c r="E113" s="8" t="s">
        <v>76</v>
      </c>
      <c r="F113" t="s">
        <v>27</v>
      </c>
      <c r="G113" s="1" t="s">
        <v>41</v>
      </c>
      <c r="H113" t="s">
        <v>62</v>
      </c>
      <c r="I113" s="1" t="s">
        <v>43</v>
      </c>
      <c r="J113" s="1" t="s">
        <v>50</v>
      </c>
      <c r="K113" s="1">
        <v>1</v>
      </c>
      <c r="L113" t="s">
        <v>53</v>
      </c>
      <c r="M113" t="s">
        <v>57</v>
      </c>
      <c r="N113" t="s">
        <v>58</v>
      </c>
      <c r="O113" s="1">
        <v>8</v>
      </c>
      <c r="P113" s="1" t="s">
        <v>60</v>
      </c>
      <c r="Q113" s="10">
        <v>0.98</v>
      </c>
    </row>
    <row r="114" spans="1:17" x14ac:dyDescent="0.35">
      <c r="A114" t="str">
        <f t="shared" si="1"/>
        <v>NOI000113</v>
      </c>
      <c r="B114" s="6">
        <v>45872</v>
      </c>
      <c r="C114" s="1" t="s">
        <v>74</v>
      </c>
      <c r="D114" s="1">
        <v>32</v>
      </c>
      <c r="E114" s="8" t="s">
        <v>79</v>
      </c>
      <c r="F114" t="s">
        <v>31</v>
      </c>
      <c r="G114" s="1" t="s">
        <v>40</v>
      </c>
      <c r="H114" t="s">
        <v>62</v>
      </c>
      <c r="I114" s="1" t="s">
        <v>48</v>
      </c>
      <c r="J114" s="1" t="s">
        <v>51</v>
      </c>
      <c r="K114" s="1">
        <v>1</v>
      </c>
      <c r="L114" t="s">
        <v>54</v>
      </c>
      <c r="M114" t="s">
        <v>57</v>
      </c>
      <c r="N114" t="s">
        <v>58</v>
      </c>
      <c r="O114" s="1">
        <v>10</v>
      </c>
      <c r="P114" s="1" t="s">
        <v>60</v>
      </c>
      <c r="Q114" s="10">
        <v>0.98</v>
      </c>
    </row>
    <row r="115" spans="1:17" x14ac:dyDescent="0.35">
      <c r="A115" t="str">
        <f t="shared" si="1"/>
        <v>NOI000114</v>
      </c>
      <c r="B115" s="6">
        <v>45883</v>
      </c>
      <c r="C115" s="1" t="s">
        <v>74</v>
      </c>
      <c r="D115" s="1">
        <v>33</v>
      </c>
      <c r="E115" s="8" t="s">
        <v>79</v>
      </c>
      <c r="F115" t="s">
        <v>25</v>
      </c>
      <c r="G115" s="1" t="s">
        <v>37</v>
      </c>
      <c r="H115" t="s">
        <v>63</v>
      </c>
      <c r="I115" s="1" t="s">
        <v>47</v>
      </c>
      <c r="J115" s="1" t="s">
        <v>51</v>
      </c>
      <c r="K115" s="1">
        <v>1</v>
      </c>
      <c r="L115" t="s">
        <v>54</v>
      </c>
      <c r="M115" t="s">
        <v>56</v>
      </c>
      <c r="N115" t="s">
        <v>58</v>
      </c>
      <c r="O115" s="1">
        <v>10</v>
      </c>
      <c r="P115" s="1" t="s">
        <v>60</v>
      </c>
      <c r="Q115" s="10">
        <v>0.94</v>
      </c>
    </row>
    <row r="116" spans="1:17" x14ac:dyDescent="0.35">
      <c r="A116" t="str">
        <f t="shared" si="1"/>
        <v>NOI000115</v>
      </c>
      <c r="B116" s="6">
        <v>45848</v>
      </c>
      <c r="C116" s="1" t="s">
        <v>70</v>
      </c>
      <c r="D116" s="1">
        <v>28</v>
      </c>
      <c r="E116" s="8" t="s">
        <v>79</v>
      </c>
      <c r="F116" t="s">
        <v>20</v>
      </c>
      <c r="G116" s="1" t="s">
        <v>37</v>
      </c>
      <c r="H116" t="s">
        <v>62</v>
      </c>
      <c r="I116" s="1" t="s">
        <v>48</v>
      </c>
      <c r="J116" s="1" t="s">
        <v>51</v>
      </c>
      <c r="K116" s="1">
        <v>1</v>
      </c>
      <c r="L116" t="s">
        <v>54</v>
      </c>
      <c r="M116" t="s">
        <v>56</v>
      </c>
      <c r="N116" t="s">
        <v>58</v>
      </c>
      <c r="O116" s="1">
        <v>10</v>
      </c>
      <c r="P116" s="1" t="s">
        <v>60</v>
      </c>
      <c r="Q116" s="10">
        <v>0.94</v>
      </c>
    </row>
    <row r="117" spans="1:17" x14ac:dyDescent="0.35">
      <c r="A117" t="str">
        <f t="shared" si="1"/>
        <v>NOI000116</v>
      </c>
      <c r="B117" s="6">
        <v>45775</v>
      </c>
      <c r="C117" s="1" t="s">
        <v>68</v>
      </c>
      <c r="D117" s="1">
        <v>18</v>
      </c>
      <c r="E117" s="8" t="s">
        <v>76</v>
      </c>
      <c r="F117" t="s">
        <v>34</v>
      </c>
      <c r="G117" s="1" t="s">
        <v>37</v>
      </c>
      <c r="H117" t="s">
        <v>62</v>
      </c>
      <c r="I117" s="1" t="s">
        <v>44</v>
      </c>
      <c r="J117" s="1" t="s">
        <v>50</v>
      </c>
      <c r="K117" s="1">
        <v>1</v>
      </c>
      <c r="L117" t="s">
        <v>53</v>
      </c>
      <c r="M117" t="s">
        <v>56</v>
      </c>
      <c r="N117" t="s">
        <v>58</v>
      </c>
      <c r="O117" s="1">
        <v>9</v>
      </c>
      <c r="P117" s="1" t="s">
        <v>61</v>
      </c>
      <c r="Q117" s="10">
        <v>0.97</v>
      </c>
    </row>
    <row r="118" spans="1:17" x14ac:dyDescent="0.35">
      <c r="A118" t="str">
        <f t="shared" si="1"/>
        <v>NOI000117</v>
      </c>
      <c r="B118" s="6">
        <v>45913</v>
      </c>
      <c r="C118" s="1" t="s">
        <v>72</v>
      </c>
      <c r="D118" s="1">
        <v>37</v>
      </c>
      <c r="E118" s="8" t="s">
        <v>79</v>
      </c>
      <c r="F118" t="s">
        <v>25</v>
      </c>
      <c r="G118" s="1" t="s">
        <v>37</v>
      </c>
      <c r="H118" t="s">
        <v>62</v>
      </c>
      <c r="I118" s="1" t="s">
        <v>43</v>
      </c>
      <c r="J118" s="1" t="s">
        <v>51</v>
      </c>
      <c r="K118" s="1">
        <v>1</v>
      </c>
      <c r="L118" t="s">
        <v>54</v>
      </c>
      <c r="M118" t="s">
        <v>56</v>
      </c>
      <c r="N118" t="s">
        <v>58</v>
      </c>
      <c r="O118" s="1">
        <v>10</v>
      </c>
      <c r="P118" s="1" t="s">
        <v>60</v>
      </c>
      <c r="Q118" s="10">
        <v>0.99</v>
      </c>
    </row>
    <row r="119" spans="1:17" x14ac:dyDescent="0.35">
      <c r="A119" t="str">
        <f t="shared" si="1"/>
        <v>NOI000118</v>
      </c>
      <c r="B119" s="6">
        <v>45826</v>
      </c>
      <c r="C119" s="1" t="s">
        <v>64</v>
      </c>
      <c r="D119" s="1">
        <v>25</v>
      </c>
      <c r="E119" s="8" t="s">
        <v>76</v>
      </c>
      <c r="F119" t="s">
        <v>34</v>
      </c>
      <c r="G119" s="1" t="s">
        <v>40</v>
      </c>
      <c r="H119" t="s">
        <v>62</v>
      </c>
      <c r="I119" s="1" t="s">
        <v>44</v>
      </c>
      <c r="J119" s="1" t="s">
        <v>51</v>
      </c>
      <c r="K119" s="1">
        <v>1</v>
      </c>
      <c r="L119" t="s">
        <v>54</v>
      </c>
      <c r="M119" t="s">
        <v>56</v>
      </c>
      <c r="N119" t="s">
        <v>58</v>
      </c>
      <c r="O119" s="1">
        <v>8</v>
      </c>
      <c r="P119" s="1" t="s">
        <v>60</v>
      </c>
      <c r="Q119" s="10">
        <v>0.95</v>
      </c>
    </row>
    <row r="120" spans="1:17" x14ac:dyDescent="0.35">
      <c r="A120" t="str">
        <f t="shared" si="1"/>
        <v>NOI000119</v>
      </c>
      <c r="B120" s="6">
        <v>45710</v>
      </c>
      <c r="C120" s="1" t="s">
        <v>75</v>
      </c>
      <c r="D120" s="1">
        <v>8</v>
      </c>
      <c r="E120" s="8" t="s">
        <v>77</v>
      </c>
      <c r="F120" t="s">
        <v>27</v>
      </c>
      <c r="G120" s="1" t="s">
        <v>38</v>
      </c>
      <c r="H120" t="s">
        <v>62</v>
      </c>
      <c r="I120" s="1" t="s">
        <v>49</v>
      </c>
      <c r="J120" s="1" t="s">
        <v>51</v>
      </c>
      <c r="K120" s="1">
        <v>1</v>
      </c>
      <c r="L120" t="s">
        <v>54</v>
      </c>
      <c r="M120" t="s">
        <v>56</v>
      </c>
      <c r="N120" t="s">
        <v>58</v>
      </c>
      <c r="O120" s="1">
        <v>10</v>
      </c>
      <c r="P120" s="1" t="s">
        <v>61</v>
      </c>
      <c r="Q120" s="10">
        <v>0.98</v>
      </c>
    </row>
    <row r="121" spans="1:17" x14ac:dyDescent="0.35">
      <c r="A121" t="str">
        <f t="shared" si="1"/>
        <v>NOI000120</v>
      </c>
      <c r="B121" s="6">
        <v>46019</v>
      </c>
      <c r="C121" s="1" t="s">
        <v>71</v>
      </c>
      <c r="D121" s="1">
        <v>53</v>
      </c>
      <c r="E121" s="8" t="s">
        <v>78</v>
      </c>
      <c r="F121" t="s">
        <v>34</v>
      </c>
      <c r="G121" s="1" t="s">
        <v>38</v>
      </c>
      <c r="H121" t="s">
        <v>62</v>
      </c>
      <c r="I121" s="1" t="s">
        <v>43</v>
      </c>
      <c r="J121" s="1" t="s">
        <v>50</v>
      </c>
      <c r="K121" s="1">
        <v>1</v>
      </c>
      <c r="L121" t="s">
        <v>53</v>
      </c>
      <c r="M121" t="s">
        <v>56</v>
      </c>
      <c r="N121" t="s">
        <v>58</v>
      </c>
      <c r="O121" s="1">
        <v>7</v>
      </c>
      <c r="P121" s="1" t="s">
        <v>60</v>
      </c>
      <c r="Q121" s="10">
        <v>0.99</v>
      </c>
    </row>
    <row r="122" spans="1:17" x14ac:dyDescent="0.35">
      <c r="A122" t="str">
        <f t="shared" si="1"/>
        <v>NOI000121</v>
      </c>
      <c r="B122" s="6">
        <v>45886</v>
      </c>
      <c r="C122" s="1" t="s">
        <v>74</v>
      </c>
      <c r="D122" s="1">
        <v>34</v>
      </c>
      <c r="E122" s="8" t="s">
        <v>79</v>
      </c>
      <c r="F122" t="s">
        <v>18</v>
      </c>
      <c r="G122" s="1" t="s">
        <v>39</v>
      </c>
      <c r="H122" t="s">
        <v>62</v>
      </c>
      <c r="I122" s="1" t="s">
        <v>44</v>
      </c>
      <c r="J122" s="1" t="s">
        <v>50</v>
      </c>
      <c r="K122" s="1">
        <v>1</v>
      </c>
      <c r="L122" t="s">
        <v>54</v>
      </c>
      <c r="M122" t="s">
        <v>56</v>
      </c>
      <c r="N122" t="s">
        <v>58</v>
      </c>
      <c r="O122" s="1">
        <v>7</v>
      </c>
      <c r="P122" s="1" t="s">
        <v>60</v>
      </c>
      <c r="Q122" s="10">
        <v>0.94</v>
      </c>
    </row>
    <row r="123" spans="1:17" x14ac:dyDescent="0.35">
      <c r="A123" t="str">
        <f t="shared" si="1"/>
        <v>NOI000122</v>
      </c>
      <c r="B123" s="6">
        <v>45919</v>
      </c>
      <c r="C123" s="1" t="s">
        <v>72</v>
      </c>
      <c r="D123" s="1">
        <v>38</v>
      </c>
      <c r="E123" s="8" t="s">
        <v>79</v>
      </c>
      <c r="F123" t="s">
        <v>33</v>
      </c>
      <c r="G123" s="1" t="s">
        <v>37</v>
      </c>
      <c r="H123" t="s">
        <v>63</v>
      </c>
      <c r="I123" s="1" t="s">
        <v>44</v>
      </c>
      <c r="J123" s="1" t="s">
        <v>51</v>
      </c>
      <c r="K123" s="1">
        <v>1</v>
      </c>
      <c r="L123" t="s">
        <v>54</v>
      </c>
      <c r="M123" t="s">
        <v>56</v>
      </c>
      <c r="N123" t="s">
        <v>59</v>
      </c>
      <c r="O123" s="1">
        <v>10</v>
      </c>
      <c r="P123" s="1" t="s">
        <v>60</v>
      </c>
      <c r="Q123" s="10">
        <v>0.96</v>
      </c>
    </row>
    <row r="124" spans="1:17" x14ac:dyDescent="0.35">
      <c r="A124" t="str">
        <f t="shared" si="1"/>
        <v>NOI000123</v>
      </c>
      <c r="B124" s="6">
        <v>45940</v>
      </c>
      <c r="C124" s="1" t="s">
        <v>66</v>
      </c>
      <c r="D124" s="1">
        <v>41</v>
      </c>
      <c r="E124" s="8" t="s">
        <v>78</v>
      </c>
      <c r="F124" t="s">
        <v>31</v>
      </c>
      <c r="G124" s="1" t="s">
        <v>40</v>
      </c>
      <c r="H124" t="s">
        <v>62</v>
      </c>
      <c r="I124" s="1" t="s">
        <v>47</v>
      </c>
      <c r="J124" s="1" t="s">
        <v>50</v>
      </c>
      <c r="K124" s="1">
        <v>1</v>
      </c>
      <c r="L124" t="s">
        <v>54</v>
      </c>
      <c r="M124" t="s">
        <v>56</v>
      </c>
      <c r="N124" t="s">
        <v>58</v>
      </c>
      <c r="O124" s="1">
        <v>9</v>
      </c>
      <c r="P124" s="1" t="s">
        <v>60</v>
      </c>
      <c r="Q124" s="10">
        <v>0.94</v>
      </c>
    </row>
    <row r="125" spans="1:17" x14ac:dyDescent="0.35">
      <c r="A125" t="str">
        <f t="shared" si="1"/>
        <v>NOI000124</v>
      </c>
      <c r="B125" s="6">
        <v>45793</v>
      </c>
      <c r="C125" s="1" t="s">
        <v>69</v>
      </c>
      <c r="D125" s="1">
        <v>20</v>
      </c>
      <c r="E125" s="8" t="s">
        <v>76</v>
      </c>
      <c r="F125" t="s">
        <v>35</v>
      </c>
      <c r="G125" s="1" t="s">
        <v>41</v>
      </c>
      <c r="H125" t="s">
        <v>63</v>
      </c>
      <c r="I125" s="1" t="s">
        <v>44</v>
      </c>
      <c r="J125" s="1" t="s">
        <v>51</v>
      </c>
      <c r="K125" s="1">
        <v>1</v>
      </c>
      <c r="L125" t="s">
        <v>53</v>
      </c>
      <c r="M125" t="s">
        <v>56</v>
      </c>
      <c r="N125" t="s">
        <v>59</v>
      </c>
      <c r="O125" s="1">
        <v>9</v>
      </c>
      <c r="P125" s="1" t="s">
        <v>60</v>
      </c>
      <c r="Q125" s="10">
        <v>0.98</v>
      </c>
    </row>
    <row r="126" spans="1:17" x14ac:dyDescent="0.35">
      <c r="A126" t="str">
        <f t="shared" si="1"/>
        <v>NOI000125</v>
      </c>
      <c r="B126" s="6">
        <v>45768</v>
      </c>
      <c r="C126" s="1" t="s">
        <v>68</v>
      </c>
      <c r="D126" s="1">
        <v>17</v>
      </c>
      <c r="E126" s="8" t="s">
        <v>76</v>
      </c>
      <c r="F126" t="s">
        <v>20</v>
      </c>
      <c r="G126" s="1" t="s">
        <v>40</v>
      </c>
      <c r="H126" t="s">
        <v>63</v>
      </c>
      <c r="I126" s="1" t="s">
        <v>47</v>
      </c>
      <c r="J126" s="1" t="s">
        <v>51</v>
      </c>
      <c r="K126" s="1">
        <v>1</v>
      </c>
      <c r="L126" t="s">
        <v>53</v>
      </c>
      <c r="M126" t="s">
        <v>56</v>
      </c>
      <c r="N126" t="s">
        <v>58</v>
      </c>
      <c r="O126" s="1">
        <v>9</v>
      </c>
      <c r="P126" s="1" t="s">
        <v>60</v>
      </c>
      <c r="Q126" s="10">
        <v>0.97</v>
      </c>
    </row>
    <row r="127" spans="1:17" x14ac:dyDescent="0.35">
      <c r="A127" t="str">
        <f t="shared" si="1"/>
        <v>NOI000126</v>
      </c>
      <c r="B127" s="6">
        <v>45924</v>
      </c>
      <c r="C127" s="1" t="s">
        <v>72</v>
      </c>
      <c r="D127" s="1">
        <v>39</v>
      </c>
      <c r="E127" s="8" t="s">
        <v>79</v>
      </c>
      <c r="F127" t="s">
        <v>36</v>
      </c>
      <c r="G127" s="1" t="s">
        <v>38</v>
      </c>
      <c r="H127" t="s">
        <v>62</v>
      </c>
      <c r="I127" s="1" t="s">
        <v>42</v>
      </c>
      <c r="J127" s="1" t="s">
        <v>50</v>
      </c>
      <c r="K127" s="1">
        <v>1</v>
      </c>
      <c r="L127" t="s">
        <v>54</v>
      </c>
      <c r="M127" t="s">
        <v>56</v>
      </c>
      <c r="N127" t="s">
        <v>58</v>
      </c>
      <c r="O127" s="1">
        <v>9</v>
      </c>
      <c r="P127" s="1" t="s">
        <v>60</v>
      </c>
      <c r="Q127" s="10">
        <v>0.95</v>
      </c>
    </row>
    <row r="128" spans="1:17" x14ac:dyDescent="0.35">
      <c r="A128" t="str">
        <f t="shared" si="1"/>
        <v>NOI000127</v>
      </c>
      <c r="B128" s="6">
        <v>45765</v>
      </c>
      <c r="C128" s="1" t="s">
        <v>68</v>
      </c>
      <c r="D128" s="1">
        <v>16</v>
      </c>
      <c r="E128" s="8" t="s">
        <v>76</v>
      </c>
      <c r="F128" t="s">
        <v>33</v>
      </c>
      <c r="G128" s="1" t="s">
        <v>41</v>
      </c>
      <c r="H128" t="s">
        <v>62</v>
      </c>
      <c r="I128" s="1" t="s">
        <v>45</v>
      </c>
      <c r="J128" s="1" t="s">
        <v>51</v>
      </c>
      <c r="K128" s="1">
        <v>1</v>
      </c>
      <c r="L128" t="s">
        <v>53</v>
      </c>
      <c r="M128" t="s">
        <v>56</v>
      </c>
      <c r="N128" t="s">
        <v>58</v>
      </c>
      <c r="O128" s="1">
        <v>9</v>
      </c>
      <c r="P128" s="1" t="s">
        <v>60</v>
      </c>
      <c r="Q128" s="10">
        <v>0.94</v>
      </c>
    </row>
    <row r="129" spans="1:17" x14ac:dyDescent="0.35">
      <c r="A129" t="str">
        <f t="shared" si="1"/>
        <v>NOI000128</v>
      </c>
      <c r="B129" s="6">
        <v>46017</v>
      </c>
      <c r="C129" s="1" t="s">
        <v>71</v>
      </c>
      <c r="D129" s="1">
        <v>52</v>
      </c>
      <c r="E129" s="8" t="s">
        <v>78</v>
      </c>
      <c r="F129" t="s">
        <v>33</v>
      </c>
      <c r="G129" s="1" t="s">
        <v>40</v>
      </c>
      <c r="H129" t="s">
        <v>62</v>
      </c>
      <c r="I129" s="1" t="s">
        <v>49</v>
      </c>
      <c r="J129" s="1" t="s">
        <v>51</v>
      </c>
      <c r="K129" s="1">
        <v>1</v>
      </c>
      <c r="L129" t="s">
        <v>53</v>
      </c>
      <c r="M129" t="s">
        <v>56</v>
      </c>
      <c r="N129" t="s">
        <v>58</v>
      </c>
      <c r="O129" s="1">
        <v>7</v>
      </c>
      <c r="P129" s="1" t="s">
        <v>60</v>
      </c>
      <c r="Q129" s="10">
        <v>0.95</v>
      </c>
    </row>
    <row r="130" spans="1:17" x14ac:dyDescent="0.35">
      <c r="A130" t="str">
        <f t="shared" ref="A130:A193" si="2">"NOI"&amp;TEXT(ROW()-1,"000000")</f>
        <v>NOI000129</v>
      </c>
      <c r="B130" s="6">
        <v>45860</v>
      </c>
      <c r="C130" s="1" t="s">
        <v>70</v>
      </c>
      <c r="D130" s="1">
        <v>30</v>
      </c>
      <c r="E130" s="8" t="s">
        <v>79</v>
      </c>
      <c r="F130" t="s">
        <v>24</v>
      </c>
      <c r="G130" s="1" t="s">
        <v>37</v>
      </c>
      <c r="H130" t="s">
        <v>63</v>
      </c>
      <c r="I130" s="1" t="s">
        <v>49</v>
      </c>
      <c r="J130" s="1" t="s">
        <v>50</v>
      </c>
      <c r="K130" s="1">
        <v>1</v>
      </c>
      <c r="L130" t="s">
        <v>53</v>
      </c>
      <c r="M130" t="s">
        <v>56</v>
      </c>
      <c r="N130" t="s">
        <v>58</v>
      </c>
      <c r="O130" s="1">
        <v>10</v>
      </c>
      <c r="P130" s="1" t="s">
        <v>60</v>
      </c>
      <c r="Q130" s="10">
        <v>0.96</v>
      </c>
    </row>
    <row r="131" spans="1:17" x14ac:dyDescent="0.35">
      <c r="A131" t="str">
        <f t="shared" si="2"/>
        <v>NOI000130</v>
      </c>
      <c r="B131" s="6">
        <v>45778</v>
      </c>
      <c r="C131" s="1" t="s">
        <v>69</v>
      </c>
      <c r="D131" s="1">
        <v>18</v>
      </c>
      <c r="E131" s="8" t="s">
        <v>76</v>
      </c>
      <c r="F131" t="s">
        <v>32</v>
      </c>
      <c r="G131" s="1" t="s">
        <v>41</v>
      </c>
      <c r="H131" t="s">
        <v>62</v>
      </c>
      <c r="I131" s="1" t="s">
        <v>49</v>
      </c>
      <c r="J131" s="1" t="s">
        <v>50</v>
      </c>
      <c r="K131" s="1">
        <v>1</v>
      </c>
      <c r="L131" t="s">
        <v>53</v>
      </c>
      <c r="M131" t="s">
        <v>56</v>
      </c>
      <c r="N131" t="s">
        <v>58</v>
      </c>
      <c r="O131" s="1">
        <v>7</v>
      </c>
      <c r="P131" s="1" t="s">
        <v>60</v>
      </c>
      <c r="Q131" s="10">
        <v>0.97</v>
      </c>
    </row>
    <row r="132" spans="1:17" x14ac:dyDescent="0.35">
      <c r="A132" t="str">
        <f t="shared" si="2"/>
        <v>NOI000131</v>
      </c>
      <c r="B132" s="6">
        <v>45709</v>
      </c>
      <c r="C132" s="1" t="s">
        <v>75</v>
      </c>
      <c r="D132" s="1">
        <v>8</v>
      </c>
      <c r="E132" s="8" t="s">
        <v>77</v>
      </c>
      <c r="F132" t="s">
        <v>35</v>
      </c>
      <c r="G132" s="1" t="s">
        <v>39</v>
      </c>
      <c r="H132" t="s">
        <v>63</v>
      </c>
      <c r="I132" s="1" t="s">
        <v>43</v>
      </c>
      <c r="J132" s="1" t="s">
        <v>50</v>
      </c>
      <c r="K132" s="1">
        <v>1</v>
      </c>
      <c r="L132" t="s">
        <v>53</v>
      </c>
      <c r="M132" t="s">
        <v>56</v>
      </c>
      <c r="N132" t="s">
        <v>58</v>
      </c>
      <c r="O132" s="1">
        <v>6</v>
      </c>
      <c r="P132" s="1" t="s">
        <v>60</v>
      </c>
      <c r="Q132" s="10">
        <v>0.99</v>
      </c>
    </row>
    <row r="133" spans="1:17" x14ac:dyDescent="0.35">
      <c r="A133" t="str">
        <f t="shared" si="2"/>
        <v>NOI000132</v>
      </c>
      <c r="B133" s="6">
        <v>45825</v>
      </c>
      <c r="C133" s="1" t="s">
        <v>64</v>
      </c>
      <c r="D133" s="1">
        <v>25</v>
      </c>
      <c r="E133" s="8" t="s">
        <v>76</v>
      </c>
      <c r="F133" t="s">
        <v>19</v>
      </c>
      <c r="G133" s="1" t="s">
        <v>38</v>
      </c>
      <c r="H133" t="s">
        <v>62</v>
      </c>
      <c r="I133" s="1" t="s">
        <v>47</v>
      </c>
      <c r="J133" s="1" t="s">
        <v>51</v>
      </c>
      <c r="K133" s="1">
        <v>1</v>
      </c>
      <c r="L133" t="s">
        <v>54</v>
      </c>
      <c r="M133" t="s">
        <v>56</v>
      </c>
      <c r="N133" t="s">
        <v>58</v>
      </c>
      <c r="O133" s="1">
        <v>6</v>
      </c>
      <c r="P133" s="1" t="s">
        <v>61</v>
      </c>
      <c r="Q133" s="10">
        <v>0.94</v>
      </c>
    </row>
    <row r="134" spans="1:17" x14ac:dyDescent="0.35">
      <c r="A134" t="str">
        <f t="shared" si="2"/>
        <v>NOI000133</v>
      </c>
      <c r="B134" s="6">
        <v>46016</v>
      </c>
      <c r="C134" s="1" t="s">
        <v>71</v>
      </c>
      <c r="D134" s="1">
        <v>52</v>
      </c>
      <c r="E134" s="8" t="s">
        <v>78</v>
      </c>
      <c r="F134" t="s">
        <v>32</v>
      </c>
      <c r="G134" s="1" t="s">
        <v>38</v>
      </c>
      <c r="H134" t="s">
        <v>62</v>
      </c>
      <c r="I134" s="1" t="s">
        <v>49</v>
      </c>
      <c r="J134" s="1" t="s">
        <v>50</v>
      </c>
      <c r="K134" s="1">
        <v>1</v>
      </c>
      <c r="L134" t="s">
        <v>53</v>
      </c>
      <c r="M134" t="s">
        <v>56</v>
      </c>
      <c r="N134" t="s">
        <v>58</v>
      </c>
      <c r="O134" s="1">
        <v>10</v>
      </c>
      <c r="P134" s="1" t="s">
        <v>61</v>
      </c>
      <c r="Q134" s="10">
        <v>0.98</v>
      </c>
    </row>
    <row r="135" spans="1:17" x14ac:dyDescent="0.35">
      <c r="A135" t="str">
        <f t="shared" si="2"/>
        <v>NOI000134</v>
      </c>
      <c r="B135" s="6">
        <v>45825</v>
      </c>
      <c r="C135" s="1" t="s">
        <v>64</v>
      </c>
      <c r="D135" s="1">
        <v>25</v>
      </c>
      <c r="E135" s="8" t="s">
        <v>76</v>
      </c>
      <c r="F135" t="s">
        <v>35</v>
      </c>
      <c r="G135" s="1" t="s">
        <v>37</v>
      </c>
      <c r="H135" t="s">
        <v>62</v>
      </c>
      <c r="I135" s="1" t="s">
        <v>45</v>
      </c>
      <c r="J135" s="1" t="s">
        <v>50</v>
      </c>
      <c r="K135" s="1">
        <v>1</v>
      </c>
      <c r="L135" t="s">
        <v>54</v>
      </c>
      <c r="M135" t="s">
        <v>56</v>
      </c>
      <c r="N135" t="s">
        <v>59</v>
      </c>
      <c r="O135" s="1">
        <v>10</v>
      </c>
      <c r="P135" s="1" t="s">
        <v>60</v>
      </c>
      <c r="Q135" s="10">
        <v>0.98</v>
      </c>
    </row>
    <row r="136" spans="1:17" x14ac:dyDescent="0.35">
      <c r="A136" t="str">
        <f t="shared" si="2"/>
        <v>NOI000135</v>
      </c>
      <c r="B136" s="6">
        <v>45921</v>
      </c>
      <c r="C136" s="1" t="s">
        <v>72</v>
      </c>
      <c r="D136" s="1">
        <v>39</v>
      </c>
      <c r="E136" s="8" t="s">
        <v>79</v>
      </c>
      <c r="F136" t="s">
        <v>35</v>
      </c>
      <c r="G136" s="1" t="s">
        <v>41</v>
      </c>
      <c r="H136" t="s">
        <v>62</v>
      </c>
      <c r="I136" s="1" t="s">
        <v>44</v>
      </c>
      <c r="J136" s="1" t="s">
        <v>51</v>
      </c>
      <c r="K136" s="1">
        <v>1</v>
      </c>
      <c r="L136" t="s">
        <v>54</v>
      </c>
      <c r="M136" t="s">
        <v>56</v>
      </c>
      <c r="N136" t="s">
        <v>58</v>
      </c>
      <c r="O136" s="1">
        <v>8</v>
      </c>
      <c r="P136" s="1" t="s">
        <v>60</v>
      </c>
      <c r="Q136" s="10">
        <v>0.98</v>
      </c>
    </row>
    <row r="137" spans="1:17" x14ac:dyDescent="0.35">
      <c r="A137" t="str">
        <f t="shared" si="2"/>
        <v>NOI000136</v>
      </c>
      <c r="B137" s="6">
        <v>45956</v>
      </c>
      <c r="C137" s="1" t="s">
        <v>66</v>
      </c>
      <c r="D137" s="1">
        <v>44</v>
      </c>
      <c r="E137" s="8" t="s">
        <v>78</v>
      </c>
      <c r="F137" t="s">
        <v>17</v>
      </c>
      <c r="G137" s="1" t="s">
        <v>40</v>
      </c>
      <c r="H137" t="s">
        <v>63</v>
      </c>
      <c r="I137" s="1" t="s">
        <v>49</v>
      </c>
      <c r="J137" s="1" t="s">
        <v>50</v>
      </c>
      <c r="K137" s="1">
        <v>1</v>
      </c>
      <c r="L137" t="s">
        <v>53</v>
      </c>
      <c r="M137" t="s">
        <v>56</v>
      </c>
      <c r="N137" t="s">
        <v>58</v>
      </c>
      <c r="O137" s="1">
        <v>7</v>
      </c>
      <c r="P137" s="1" t="s">
        <v>60</v>
      </c>
      <c r="Q137" s="10">
        <v>0.98</v>
      </c>
    </row>
    <row r="138" spans="1:17" x14ac:dyDescent="0.35">
      <c r="A138" t="str">
        <f t="shared" si="2"/>
        <v>NOI000137</v>
      </c>
      <c r="B138" s="6">
        <v>45798</v>
      </c>
      <c r="C138" s="1" t="s">
        <v>69</v>
      </c>
      <c r="D138" s="1">
        <v>21</v>
      </c>
      <c r="E138" s="8" t="s">
        <v>76</v>
      </c>
      <c r="F138" t="s">
        <v>17</v>
      </c>
      <c r="G138" s="1" t="s">
        <v>38</v>
      </c>
      <c r="H138" t="s">
        <v>62</v>
      </c>
      <c r="I138" s="1" t="s">
        <v>45</v>
      </c>
      <c r="J138" s="1" t="s">
        <v>50</v>
      </c>
      <c r="K138" s="1">
        <v>1</v>
      </c>
      <c r="L138" t="s">
        <v>53</v>
      </c>
      <c r="M138" t="s">
        <v>56</v>
      </c>
      <c r="N138" t="s">
        <v>58</v>
      </c>
      <c r="O138" s="1">
        <v>6</v>
      </c>
      <c r="P138" s="1" t="s">
        <v>60</v>
      </c>
      <c r="Q138" s="10">
        <v>0.99</v>
      </c>
    </row>
    <row r="139" spans="1:17" x14ac:dyDescent="0.35">
      <c r="A139" t="str">
        <f t="shared" si="2"/>
        <v>NOI000138</v>
      </c>
      <c r="B139" s="6">
        <v>45661</v>
      </c>
      <c r="C139" s="1" t="s">
        <v>67</v>
      </c>
      <c r="D139" s="1">
        <v>1</v>
      </c>
      <c r="E139" s="8" t="s">
        <v>77</v>
      </c>
      <c r="F139" t="s">
        <v>36</v>
      </c>
      <c r="G139" s="1" t="s">
        <v>37</v>
      </c>
      <c r="H139" t="s">
        <v>63</v>
      </c>
      <c r="I139" s="1" t="s">
        <v>49</v>
      </c>
      <c r="J139" s="1" t="s">
        <v>50</v>
      </c>
      <c r="K139" s="1">
        <v>1</v>
      </c>
      <c r="L139" t="s">
        <v>54</v>
      </c>
      <c r="M139" t="s">
        <v>56</v>
      </c>
      <c r="N139" t="s">
        <v>58</v>
      </c>
      <c r="O139" s="1">
        <v>10</v>
      </c>
      <c r="P139" s="1" t="s">
        <v>61</v>
      </c>
      <c r="Q139" s="10">
        <v>0.98</v>
      </c>
    </row>
    <row r="140" spans="1:17" x14ac:dyDescent="0.35">
      <c r="A140" t="str">
        <f t="shared" si="2"/>
        <v>NOI000139</v>
      </c>
      <c r="B140" s="6">
        <v>45906</v>
      </c>
      <c r="C140" s="1" t="s">
        <v>72</v>
      </c>
      <c r="D140" s="1">
        <v>36</v>
      </c>
      <c r="E140" s="8" t="s">
        <v>79</v>
      </c>
      <c r="F140" t="s">
        <v>26</v>
      </c>
      <c r="G140" s="1" t="s">
        <v>40</v>
      </c>
      <c r="H140" t="s">
        <v>62</v>
      </c>
      <c r="I140" s="1" t="s">
        <v>46</v>
      </c>
      <c r="J140" s="1" t="s">
        <v>51</v>
      </c>
      <c r="K140" s="1">
        <v>1</v>
      </c>
      <c r="L140" t="s">
        <v>54</v>
      </c>
      <c r="M140" t="s">
        <v>56</v>
      </c>
      <c r="N140" t="s">
        <v>58</v>
      </c>
      <c r="O140" s="1">
        <v>9</v>
      </c>
      <c r="P140" s="1" t="s">
        <v>61</v>
      </c>
      <c r="Q140" s="10">
        <v>0.96</v>
      </c>
    </row>
    <row r="141" spans="1:17" x14ac:dyDescent="0.35">
      <c r="A141" t="str">
        <f t="shared" si="2"/>
        <v>NOI000140</v>
      </c>
      <c r="B141" s="6">
        <v>45913</v>
      </c>
      <c r="C141" s="1" t="s">
        <v>72</v>
      </c>
      <c r="D141" s="1">
        <v>37</v>
      </c>
      <c r="E141" s="8" t="s">
        <v>79</v>
      </c>
      <c r="F141" t="s">
        <v>31</v>
      </c>
      <c r="G141" s="1" t="s">
        <v>39</v>
      </c>
      <c r="H141" t="s">
        <v>62</v>
      </c>
      <c r="I141" s="1" t="s">
        <v>42</v>
      </c>
      <c r="J141" s="1" t="s">
        <v>51</v>
      </c>
      <c r="K141" s="1">
        <v>1</v>
      </c>
      <c r="L141" t="s">
        <v>54</v>
      </c>
      <c r="M141" t="s">
        <v>56</v>
      </c>
      <c r="N141" t="s">
        <v>58</v>
      </c>
      <c r="O141" s="1">
        <v>6</v>
      </c>
      <c r="P141" s="1" t="s">
        <v>60</v>
      </c>
      <c r="Q141" s="10">
        <v>0.96</v>
      </c>
    </row>
    <row r="142" spans="1:17" x14ac:dyDescent="0.35">
      <c r="A142" t="str">
        <f t="shared" si="2"/>
        <v>NOI000141</v>
      </c>
      <c r="B142" s="6">
        <v>45755</v>
      </c>
      <c r="C142" s="1" t="s">
        <v>68</v>
      </c>
      <c r="D142" s="1">
        <v>15</v>
      </c>
      <c r="E142" s="8" t="s">
        <v>76</v>
      </c>
      <c r="F142" t="s">
        <v>22</v>
      </c>
      <c r="G142" s="1" t="s">
        <v>39</v>
      </c>
      <c r="H142" t="s">
        <v>62</v>
      </c>
      <c r="I142" s="1" t="s">
        <v>46</v>
      </c>
      <c r="J142" s="1" t="s">
        <v>50</v>
      </c>
      <c r="K142" s="1">
        <v>1</v>
      </c>
      <c r="L142" t="s">
        <v>53</v>
      </c>
      <c r="M142" t="s">
        <v>57</v>
      </c>
      <c r="N142" t="s">
        <v>58</v>
      </c>
      <c r="O142" s="1">
        <v>6</v>
      </c>
      <c r="P142" s="1" t="s">
        <v>60</v>
      </c>
      <c r="Q142" s="10">
        <v>0.97</v>
      </c>
    </row>
    <row r="143" spans="1:17" x14ac:dyDescent="0.35">
      <c r="A143" t="str">
        <f t="shared" si="2"/>
        <v>NOI000142</v>
      </c>
      <c r="B143" s="6">
        <v>45712</v>
      </c>
      <c r="C143" s="1" t="s">
        <v>75</v>
      </c>
      <c r="D143" s="1">
        <v>9</v>
      </c>
      <c r="E143" s="8" t="s">
        <v>77</v>
      </c>
      <c r="F143" t="s">
        <v>22</v>
      </c>
      <c r="G143" s="1" t="s">
        <v>38</v>
      </c>
      <c r="H143" t="s">
        <v>62</v>
      </c>
      <c r="I143" s="1" t="s">
        <v>45</v>
      </c>
      <c r="J143" s="1" t="s">
        <v>51</v>
      </c>
      <c r="K143" s="1">
        <v>1</v>
      </c>
      <c r="L143" t="s">
        <v>53</v>
      </c>
      <c r="M143" t="s">
        <v>56</v>
      </c>
      <c r="N143" t="s">
        <v>58</v>
      </c>
      <c r="O143" s="1">
        <v>7</v>
      </c>
      <c r="P143" s="1" t="s">
        <v>60</v>
      </c>
      <c r="Q143" s="10">
        <v>0.94</v>
      </c>
    </row>
    <row r="144" spans="1:17" x14ac:dyDescent="0.35">
      <c r="A144" t="str">
        <f t="shared" si="2"/>
        <v>NOI000143</v>
      </c>
      <c r="B144" s="6">
        <v>46015</v>
      </c>
      <c r="C144" s="1" t="s">
        <v>71</v>
      </c>
      <c r="D144" s="1">
        <v>52</v>
      </c>
      <c r="E144" s="8" t="s">
        <v>78</v>
      </c>
      <c r="F144" t="s">
        <v>28</v>
      </c>
      <c r="G144" s="1" t="s">
        <v>41</v>
      </c>
      <c r="H144" t="s">
        <v>62</v>
      </c>
      <c r="I144" s="1" t="s">
        <v>49</v>
      </c>
      <c r="J144" s="1" t="s">
        <v>50</v>
      </c>
      <c r="K144" s="1">
        <v>1</v>
      </c>
      <c r="L144" t="s">
        <v>53</v>
      </c>
      <c r="M144" t="s">
        <v>56</v>
      </c>
      <c r="N144" t="s">
        <v>58</v>
      </c>
      <c r="O144" s="1">
        <v>8</v>
      </c>
      <c r="P144" s="1" t="s">
        <v>60</v>
      </c>
      <c r="Q144" s="10">
        <v>0.98</v>
      </c>
    </row>
    <row r="145" spans="1:17" x14ac:dyDescent="0.35">
      <c r="A145" t="str">
        <f t="shared" si="2"/>
        <v>NOI000144</v>
      </c>
      <c r="B145" s="6">
        <v>45786</v>
      </c>
      <c r="C145" s="1" t="s">
        <v>69</v>
      </c>
      <c r="D145" s="1">
        <v>19</v>
      </c>
      <c r="E145" s="8" t="s">
        <v>76</v>
      </c>
      <c r="F145" t="s">
        <v>24</v>
      </c>
      <c r="G145" s="1" t="s">
        <v>38</v>
      </c>
      <c r="H145" t="s">
        <v>62</v>
      </c>
      <c r="I145" s="1" t="s">
        <v>45</v>
      </c>
      <c r="J145" s="1" t="s">
        <v>50</v>
      </c>
      <c r="K145" s="1">
        <v>1</v>
      </c>
      <c r="L145" t="s">
        <v>54</v>
      </c>
      <c r="M145" t="s">
        <v>56</v>
      </c>
      <c r="N145" t="s">
        <v>58</v>
      </c>
      <c r="O145" s="1">
        <v>9</v>
      </c>
      <c r="P145" s="1" t="s">
        <v>60</v>
      </c>
      <c r="Q145" s="10">
        <v>0.96</v>
      </c>
    </row>
    <row r="146" spans="1:17" x14ac:dyDescent="0.35">
      <c r="A146" t="str">
        <f t="shared" si="2"/>
        <v>NOI000145</v>
      </c>
      <c r="B146" s="6">
        <v>45957</v>
      </c>
      <c r="C146" s="1" t="s">
        <v>66</v>
      </c>
      <c r="D146" s="1">
        <v>44</v>
      </c>
      <c r="E146" s="8" t="s">
        <v>78</v>
      </c>
      <c r="F146" t="s">
        <v>24</v>
      </c>
      <c r="G146" s="1" t="s">
        <v>37</v>
      </c>
      <c r="H146" t="s">
        <v>62</v>
      </c>
      <c r="I146" s="1" t="s">
        <v>44</v>
      </c>
      <c r="J146" s="1" t="s">
        <v>50</v>
      </c>
      <c r="K146" s="1">
        <v>1</v>
      </c>
      <c r="L146" t="s">
        <v>54</v>
      </c>
      <c r="M146" t="s">
        <v>56</v>
      </c>
      <c r="N146" t="s">
        <v>58</v>
      </c>
      <c r="O146" s="1">
        <v>9</v>
      </c>
      <c r="P146" s="1" t="s">
        <v>60</v>
      </c>
      <c r="Q146" s="10">
        <v>0.95</v>
      </c>
    </row>
    <row r="147" spans="1:17" x14ac:dyDescent="0.35">
      <c r="A147" t="str">
        <f t="shared" si="2"/>
        <v>NOI000146</v>
      </c>
      <c r="B147" s="6">
        <v>45771</v>
      </c>
      <c r="C147" s="1" t="s">
        <v>68</v>
      </c>
      <c r="D147" s="1">
        <v>17</v>
      </c>
      <c r="E147" s="8" t="s">
        <v>76</v>
      </c>
      <c r="F147" t="s">
        <v>17</v>
      </c>
      <c r="G147" s="1" t="s">
        <v>39</v>
      </c>
      <c r="H147" t="s">
        <v>62</v>
      </c>
      <c r="I147" s="1" t="s">
        <v>43</v>
      </c>
      <c r="J147" s="1" t="s">
        <v>50</v>
      </c>
      <c r="K147" s="1">
        <v>1</v>
      </c>
      <c r="L147" t="s">
        <v>54</v>
      </c>
      <c r="M147" t="s">
        <v>56</v>
      </c>
      <c r="N147" t="s">
        <v>58</v>
      </c>
      <c r="O147" s="1">
        <v>8</v>
      </c>
      <c r="P147" s="1" t="s">
        <v>60</v>
      </c>
      <c r="Q147" s="10">
        <v>0.97</v>
      </c>
    </row>
    <row r="148" spans="1:17" x14ac:dyDescent="0.35">
      <c r="A148" t="str">
        <f t="shared" si="2"/>
        <v>NOI000147</v>
      </c>
      <c r="B148" s="6">
        <v>46010</v>
      </c>
      <c r="C148" s="1" t="s">
        <v>71</v>
      </c>
      <c r="D148" s="1">
        <v>51</v>
      </c>
      <c r="E148" s="8" t="s">
        <v>78</v>
      </c>
      <c r="F148" t="s">
        <v>36</v>
      </c>
      <c r="G148" s="1" t="s">
        <v>40</v>
      </c>
      <c r="H148" t="s">
        <v>63</v>
      </c>
      <c r="I148" s="1" t="s">
        <v>43</v>
      </c>
      <c r="J148" s="1" t="s">
        <v>50</v>
      </c>
      <c r="K148" s="1">
        <v>1</v>
      </c>
      <c r="L148" t="s">
        <v>54</v>
      </c>
      <c r="M148" t="s">
        <v>56</v>
      </c>
      <c r="N148" t="s">
        <v>58</v>
      </c>
      <c r="O148" s="1">
        <v>8</v>
      </c>
      <c r="P148" s="1" t="s">
        <v>60</v>
      </c>
      <c r="Q148" s="10">
        <v>0.96</v>
      </c>
    </row>
    <row r="149" spans="1:17" x14ac:dyDescent="0.35">
      <c r="A149" t="str">
        <f t="shared" si="2"/>
        <v>NOI000148</v>
      </c>
      <c r="B149" s="6">
        <v>45948</v>
      </c>
      <c r="C149" s="1" t="s">
        <v>66</v>
      </c>
      <c r="D149" s="1">
        <v>42</v>
      </c>
      <c r="E149" s="8" t="s">
        <v>78</v>
      </c>
      <c r="F149" t="s">
        <v>32</v>
      </c>
      <c r="G149" s="1" t="s">
        <v>38</v>
      </c>
      <c r="H149" t="s">
        <v>62</v>
      </c>
      <c r="I149" s="1" t="s">
        <v>43</v>
      </c>
      <c r="J149" s="1" t="s">
        <v>51</v>
      </c>
      <c r="K149" s="1">
        <v>1</v>
      </c>
      <c r="L149" t="s">
        <v>54</v>
      </c>
      <c r="M149" t="s">
        <v>56</v>
      </c>
      <c r="N149" t="s">
        <v>58</v>
      </c>
      <c r="O149" s="1">
        <v>7</v>
      </c>
      <c r="P149" s="1" t="s">
        <v>60</v>
      </c>
      <c r="Q149" s="10">
        <v>0.99</v>
      </c>
    </row>
    <row r="150" spans="1:17" x14ac:dyDescent="0.35">
      <c r="A150" t="str">
        <f t="shared" si="2"/>
        <v>NOI000149</v>
      </c>
      <c r="B150" s="6">
        <v>45939</v>
      </c>
      <c r="C150" s="1" t="s">
        <v>66</v>
      </c>
      <c r="D150" s="1">
        <v>41</v>
      </c>
      <c r="E150" s="8" t="s">
        <v>78</v>
      </c>
      <c r="F150" t="s">
        <v>36</v>
      </c>
      <c r="G150" s="1" t="s">
        <v>40</v>
      </c>
      <c r="H150" t="s">
        <v>63</v>
      </c>
      <c r="I150" s="1" t="s">
        <v>48</v>
      </c>
      <c r="J150" s="1" t="s">
        <v>50</v>
      </c>
      <c r="K150" s="1">
        <v>1</v>
      </c>
      <c r="L150" t="s">
        <v>53</v>
      </c>
      <c r="M150" t="s">
        <v>56</v>
      </c>
      <c r="N150" t="s">
        <v>58</v>
      </c>
      <c r="O150" s="1">
        <v>10</v>
      </c>
      <c r="P150" s="1" t="s">
        <v>60</v>
      </c>
      <c r="Q150" s="10">
        <v>0.95</v>
      </c>
    </row>
    <row r="151" spans="1:17" x14ac:dyDescent="0.35">
      <c r="A151" t="str">
        <f t="shared" si="2"/>
        <v>NOI000150</v>
      </c>
      <c r="B151" s="6">
        <v>45878</v>
      </c>
      <c r="C151" s="1" t="s">
        <v>74</v>
      </c>
      <c r="D151" s="1">
        <v>32</v>
      </c>
      <c r="E151" s="8" t="s">
        <v>79</v>
      </c>
      <c r="F151" t="s">
        <v>24</v>
      </c>
      <c r="G151" s="1" t="s">
        <v>38</v>
      </c>
      <c r="H151" t="s">
        <v>62</v>
      </c>
      <c r="I151" s="1" t="s">
        <v>48</v>
      </c>
      <c r="J151" s="1" t="s">
        <v>50</v>
      </c>
      <c r="K151" s="1">
        <v>1</v>
      </c>
      <c r="L151" t="s">
        <v>54</v>
      </c>
      <c r="M151" t="s">
        <v>56</v>
      </c>
      <c r="N151" t="s">
        <v>58</v>
      </c>
      <c r="O151" s="1">
        <v>9</v>
      </c>
      <c r="P151" s="1" t="s">
        <v>60</v>
      </c>
      <c r="Q151" s="10">
        <v>0.97</v>
      </c>
    </row>
    <row r="152" spans="1:17" x14ac:dyDescent="0.35">
      <c r="A152" t="str">
        <f t="shared" si="2"/>
        <v>NOI000151</v>
      </c>
      <c r="B152" s="6">
        <v>45879</v>
      </c>
      <c r="C152" s="1" t="s">
        <v>74</v>
      </c>
      <c r="D152" s="1">
        <v>33</v>
      </c>
      <c r="E152" s="8" t="s">
        <v>79</v>
      </c>
      <c r="F152" t="s">
        <v>32</v>
      </c>
      <c r="G152" s="1" t="s">
        <v>41</v>
      </c>
      <c r="H152" t="s">
        <v>62</v>
      </c>
      <c r="I152" s="1" t="s">
        <v>44</v>
      </c>
      <c r="J152" s="1" t="s">
        <v>50</v>
      </c>
      <c r="K152" s="1">
        <v>1</v>
      </c>
      <c r="L152" t="s">
        <v>53</v>
      </c>
      <c r="M152" t="s">
        <v>56</v>
      </c>
      <c r="N152" t="s">
        <v>58</v>
      </c>
      <c r="O152" s="1">
        <v>9</v>
      </c>
      <c r="P152" s="1" t="s">
        <v>60</v>
      </c>
      <c r="Q152" s="10">
        <v>0.97</v>
      </c>
    </row>
    <row r="153" spans="1:17" x14ac:dyDescent="0.35">
      <c r="A153" t="str">
        <f t="shared" si="2"/>
        <v>NOI000152</v>
      </c>
      <c r="B153" s="6">
        <v>45725</v>
      </c>
      <c r="C153" s="1" t="s">
        <v>65</v>
      </c>
      <c r="D153" s="1">
        <v>11</v>
      </c>
      <c r="E153" s="8" t="s">
        <v>77</v>
      </c>
      <c r="F153" t="s">
        <v>28</v>
      </c>
      <c r="G153" s="1" t="s">
        <v>38</v>
      </c>
      <c r="H153" t="s">
        <v>62</v>
      </c>
      <c r="I153" s="1" t="s">
        <v>49</v>
      </c>
      <c r="J153" s="1" t="s">
        <v>50</v>
      </c>
      <c r="K153" s="1">
        <v>1</v>
      </c>
      <c r="L153" t="s">
        <v>53</v>
      </c>
      <c r="M153" t="s">
        <v>56</v>
      </c>
      <c r="N153" t="s">
        <v>58</v>
      </c>
      <c r="O153" s="1">
        <v>7</v>
      </c>
      <c r="P153" s="1" t="s">
        <v>60</v>
      </c>
      <c r="Q153" s="10">
        <v>0.96</v>
      </c>
    </row>
    <row r="154" spans="1:17" x14ac:dyDescent="0.35">
      <c r="A154" t="str">
        <f t="shared" si="2"/>
        <v>NOI000153</v>
      </c>
      <c r="B154" s="6">
        <v>45699</v>
      </c>
      <c r="C154" s="1" t="s">
        <v>75</v>
      </c>
      <c r="D154" s="1">
        <v>7</v>
      </c>
      <c r="E154" s="8" t="s">
        <v>77</v>
      </c>
      <c r="F154" t="s">
        <v>29</v>
      </c>
      <c r="G154" s="1" t="s">
        <v>41</v>
      </c>
      <c r="H154" t="s">
        <v>62</v>
      </c>
      <c r="I154" s="1" t="s">
        <v>49</v>
      </c>
      <c r="J154" s="1" t="s">
        <v>50</v>
      </c>
      <c r="K154" s="1">
        <v>1</v>
      </c>
      <c r="L154" t="s">
        <v>54</v>
      </c>
      <c r="M154" t="s">
        <v>56</v>
      </c>
      <c r="N154" t="s">
        <v>58</v>
      </c>
      <c r="O154" s="1">
        <v>8</v>
      </c>
      <c r="P154" s="1" t="s">
        <v>60</v>
      </c>
      <c r="Q154" s="10">
        <v>0.99</v>
      </c>
    </row>
    <row r="155" spans="1:17" x14ac:dyDescent="0.35">
      <c r="A155" t="str">
        <f t="shared" si="2"/>
        <v>NOI000154</v>
      </c>
      <c r="B155" s="6">
        <v>45793</v>
      </c>
      <c r="C155" s="1" t="s">
        <v>69</v>
      </c>
      <c r="D155" s="1">
        <v>20</v>
      </c>
      <c r="E155" s="8" t="s">
        <v>76</v>
      </c>
      <c r="F155" t="s">
        <v>22</v>
      </c>
      <c r="G155" s="1" t="s">
        <v>40</v>
      </c>
      <c r="H155" t="s">
        <v>63</v>
      </c>
      <c r="I155" s="1" t="s">
        <v>44</v>
      </c>
      <c r="J155" s="1" t="s">
        <v>50</v>
      </c>
      <c r="K155" s="1">
        <v>1</v>
      </c>
      <c r="L155" t="s">
        <v>53</v>
      </c>
      <c r="M155" t="s">
        <v>56</v>
      </c>
      <c r="N155" t="s">
        <v>58</v>
      </c>
      <c r="O155" s="1">
        <v>7</v>
      </c>
      <c r="P155" s="1" t="s">
        <v>60</v>
      </c>
      <c r="Q155" s="10">
        <v>0.99</v>
      </c>
    </row>
    <row r="156" spans="1:17" x14ac:dyDescent="0.35">
      <c r="A156" t="str">
        <f t="shared" si="2"/>
        <v>NOI000155</v>
      </c>
      <c r="B156" s="6">
        <v>45947</v>
      </c>
      <c r="C156" s="1" t="s">
        <v>66</v>
      </c>
      <c r="D156" s="1">
        <v>42</v>
      </c>
      <c r="E156" s="8" t="s">
        <v>78</v>
      </c>
      <c r="F156" t="s">
        <v>18</v>
      </c>
      <c r="G156" s="1" t="s">
        <v>38</v>
      </c>
      <c r="H156" t="s">
        <v>63</v>
      </c>
      <c r="I156" s="1" t="s">
        <v>45</v>
      </c>
      <c r="J156" s="1" t="s">
        <v>51</v>
      </c>
      <c r="K156" s="1">
        <v>1</v>
      </c>
      <c r="L156" t="s">
        <v>54</v>
      </c>
      <c r="M156" t="s">
        <v>56</v>
      </c>
      <c r="N156" t="s">
        <v>58</v>
      </c>
      <c r="O156" s="1">
        <v>6</v>
      </c>
      <c r="P156" s="1" t="s">
        <v>60</v>
      </c>
      <c r="Q156" s="10">
        <v>0.99</v>
      </c>
    </row>
    <row r="157" spans="1:17" x14ac:dyDescent="0.35">
      <c r="A157" t="str">
        <f t="shared" si="2"/>
        <v>NOI000156</v>
      </c>
      <c r="B157" s="6">
        <v>45668</v>
      </c>
      <c r="C157" s="1" t="s">
        <v>67</v>
      </c>
      <c r="D157" s="1">
        <v>2</v>
      </c>
      <c r="E157" s="8" t="s">
        <v>77</v>
      </c>
      <c r="F157" t="s">
        <v>26</v>
      </c>
      <c r="G157" s="1" t="s">
        <v>38</v>
      </c>
      <c r="H157" t="s">
        <v>62</v>
      </c>
      <c r="I157" s="1" t="s">
        <v>49</v>
      </c>
      <c r="J157" s="1" t="s">
        <v>50</v>
      </c>
      <c r="K157" s="1">
        <v>1</v>
      </c>
      <c r="L157" t="s">
        <v>53</v>
      </c>
      <c r="M157" t="s">
        <v>56</v>
      </c>
      <c r="N157" t="s">
        <v>58</v>
      </c>
      <c r="O157" s="1">
        <v>10</v>
      </c>
      <c r="P157" s="1" t="s">
        <v>60</v>
      </c>
      <c r="Q157" s="10">
        <v>0.97</v>
      </c>
    </row>
    <row r="158" spans="1:17" x14ac:dyDescent="0.35">
      <c r="A158" t="str">
        <f t="shared" si="2"/>
        <v>NOI000157</v>
      </c>
      <c r="B158" s="6">
        <v>45684</v>
      </c>
      <c r="C158" s="1" t="s">
        <v>67</v>
      </c>
      <c r="D158" s="1">
        <v>5</v>
      </c>
      <c r="E158" s="8" t="s">
        <v>77</v>
      </c>
      <c r="F158" t="s">
        <v>20</v>
      </c>
      <c r="G158" s="1" t="s">
        <v>41</v>
      </c>
      <c r="H158" t="s">
        <v>62</v>
      </c>
      <c r="I158" s="1" t="s">
        <v>47</v>
      </c>
      <c r="J158" s="1" t="s">
        <v>51</v>
      </c>
      <c r="K158" s="1">
        <v>1</v>
      </c>
      <c r="L158" t="s">
        <v>53</v>
      </c>
      <c r="M158" t="s">
        <v>56</v>
      </c>
      <c r="N158" t="s">
        <v>58</v>
      </c>
      <c r="O158" s="1">
        <v>6</v>
      </c>
      <c r="P158" s="1" t="s">
        <v>60</v>
      </c>
      <c r="Q158" s="10">
        <v>0.98</v>
      </c>
    </row>
    <row r="159" spans="1:17" x14ac:dyDescent="0.35">
      <c r="A159" t="str">
        <f t="shared" si="2"/>
        <v>NOI000158</v>
      </c>
      <c r="B159" s="6">
        <v>46018</v>
      </c>
      <c r="C159" s="1" t="s">
        <v>71</v>
      </c>
      <c r="D159" s="1">
        <v>52</v>
      </c>
      <c r="E159" s="8" t="s">
        <v>78</v>
      </c>
      <c r="F159" t="s">
        <v>19</v>
      </c>
      <c r="G159" s="1" t="s">
        <v>40</v>
      </c>
      <c r="H159" t="s">
        <v>62</v>
      </c>
      <c r="I159" s="1" t="s">
        <v>44</v>
      </c>
      <c r="J159" s="1" t="s">
        <v>51</v>
      </c>
      <c r="K159" s="1">
        <v>1</v>
      </c>
      <c r="L159" t="s">
        <v>54</v>
      </c>
      <c r="M159" t="s">
        <v>56</v>
      </c>
      <c r="N159" t="s">
        <v>58</v>
      </c>
      <c r="O159" s="1">
        <v>10</v>
      </c>
      <c r="P159" s="1" t="s">
        <v>60</v>
      </c>
      <c r="Q159" s="10">
        <v>0.95</v>
      </c>
    </row>
    <row r="160" spans="1:17" x14ac:dyDescent="0.35">
      <c r="A160" t="str">
        <f t="shared" si="2"/>
        <v>NOI000159</v>
      </c>
      <c r="B160" s="6">
        <v>45932</v>
      </c>
      <c r="C160" s="1" t="s">
        <v>66</v>
      </c>
      <c r="D160" s="1">
        <v>40</v>
      </c>
      <c r="E160" s="8" t="s">
        <v>78</v>
      </c>
      <c r="F160" t="s">
        <v>33</v>
      </c>
      <c r="G160" s="1" t="s">
        <v>40</v>
      </c>
      <c r="H160" t="s">
        <v>62</v>
      </c>
      <c r="I160" s="1" t="s">
        <v>48</v>
      </c>
      <c r="J160" s="1" t="s">
        <v>50</v>
      </c>
      <c r="K160" s="1">
        <v>1</v>
      </c>
      <c r="L160" t="s">
        <v>53</v>
      </c>
      <c r="M160" t="s">
        <v>56</v>
      </c>
      <c r="N160" t="s">
        <v>58</v>
      </c>
      <c r="O160" s="1">
        <v>6</v>
      </c>
      <c r="P160" s="1" t="s">
        <v>60</v>
      </c>
      <c r="Q160" s="10">
        <v>0.94</v>
      </c>
    </row>
    <row r="161" spans="1:17" x14ac:dyDescent="0.35">
      <c r="A161" t="str">
        <f t="shared" si="2"/>
        <v>NOI000160</v>
      </c>
      <c r="B161" s="6">
        <v>45878</v>
      </c>
      <c r="C161" s="1" t="s">
        <v>74</v>
      </c>
      <c r="D161" s="1">
        <v>32</v>
      </c>
      <c r="E161" s="8" t="s">
        <v>79</v>
      </c>
      <c r="F161" t="s">
        <v>18</v>
      </c>
      <c r="G161" s="1" t="s">
        <v>37</v>
      </c>
      <c r="H161" t="s">
        <v>63</v>
      </c>
      <c r="I161" s="1" t="s">
        <v>42</v>
      </c>
      <c r="J161" s="1" t="s">
        <v>51</v>
      </c>
      <c r="K161" s="1">
        <v>1</v>
      </c>
      <c r="L161" t="s">
        <v>54</v>
      </c>
      <c r="M161" t="s">
        <v>57</v>
      </c>
      <c r="N161" t="s">
        <v>58</v>
      </c>
      <c r="O161" s="1">
        <v>7</v>
      </c>
      <c r="P161" s="1" t="s">
        <v>60</v>
      </c>
      <c r="Q161" s="10">
        <v>0.96</v>
      </c>
    </row>
    <row r="162" spans="1:17" x14ac:dyDescent="0.35">
      <c r="A162" t="str">
        <f t="shared" si="2"/>
        <v>NOI000161</v>
      </c>
      <c r="B162" s="6">
        <v>45826</v>
      </c>
      <c r="C162" s="1" t="s">
        <v>64</v>
      </c>
      <c r="D162" s="1">
        <v>25</v>
      </c>
      <c r="E162" s="8" t="s">
        <v>76</v>
      </c>
      <c r="F162" t="s">
        <v>29</v>
      </c>
      <c r="G162" s="1" t="s">
        <v>40</v>
      </c>
      <c r="H162" t="s">
        <v>62</v>
      </c>
      <c r="I162" s="1" t="s">
        <v>47</v>
      </c>
      <c r="J162" s="1" t="s">
        <v>51</v>
      </c>
      <c r="K162" s="1">
        <v>1</v>
      </c>
      <c r="L162" t="s">
        <v>54</v>
      </c>
      <c r="M162" t="s">
        <v>56</v>
      </c>
      <c r="N162" t="s">
        <v>58</v>
      </c>
      <c r="O162" s="1">
        <v>6</v>
      </c>
      <c r="P162" s="1" t="s">
        <v>60</v>
      </c>
      <c r="Q162" s="10">
        <v>0.98</v>
      </c>
    </row>
    <row r="163" spans="1:17" x14ac:dyDescent="0.35">
      <c r="A163" t="str">
        <f t="shared" si="2"/>
        <v>NOI000162</v>
      </c>
      <c r="B163" s="6">
        <v>45883</v>
      </c>
      <c r="C163" s="1" t="s">
        <v>74</v>
      </c>
      <c r="D163" s="1">
        <v>33</v>
      </c>
      <c r="E163" s="8" t="s">
        <v>79</v>
      </c>
      <c r="F163" t="s">
        <v>31</v>
      </c>
      <c r="G163" s="1" t="s">
        <v>38</v>
      </c>
      <c r="H163" t="s">
        <v>63</v>
      </c>
      <c r="I163" s="1" t="s">
        <v>48</v>
      </c>
      <c r="J163" s="1" t="s">
        <v>50</v>
      </c>
      <c r="K163" s="1">
        <v>1</v>
      </c>
      <c r="L163" t="s">
        <v>54</v>
      </c>
      <c r="M163" t="s">
        <v>56</v>
      </c>
      <c r="N163" t="s">
        <v>58</v>
      </c>
      <c r="O163" s="1">
        <v>10</v>
      </c>
      <c r="P163" s="1" t="s">
        <v>60</v>
      </c>
      <c r="Q163" s="10">
        <v>0.94</v>
      </c>
    </row>
    <row r="164" spans="1:17" x14ac:dyDescent="0.35">
      <c r="A164" t="str">
        <f t="shared" si="2"/>
        <v>NOI000163</v>
      </c>
      <c r="B164" s="6">
        <v>45982</v>
      </c>
      <c r="C164" s="1" t="s">
        <v>73</v>
      </c>
      <c r="D164" s="1">
        <v>47</v>
      </c>
      <c r="E164" s="8" t="s">
        <v>78</v>
      </c>
      <c r="F164" t="s">
        <v>32</v>
      </c>
      <c r="G164" s="1" t="s">
        <v>39</v>
      </c>
      <c r="H164" t="s">
        <v>63</v>
      </c>
      <c r="I164" s="1" t="s">
        <v>43</v>
      </c>
      <c r="J164" s="1" t="s">
        <v>51</v>
      </c>
      <c r="K164" s="1">
        <v>1</v>
      </c>
      <c r="L164" t="s">
        <v>53</v>
      </c>
      <c r="M164" t="s">
        <v>56</v>
      </c>
      <c r="N164" t="s">
        <v>58</v>
      </c>
      <c r="O164" s="1">
        <v>10</v>
      </c>
      <c r="P164" s="1" t="s">
        <v>60</v>
      </c>
      <c r="Q164" s="10">
        <v>0.97</v>
      </c>
    </row>
    <row r="165" spans="1:17" x14ac:dyDescent="0.35">
      <c r="A165" t="str">
        <f t="shared" si="2"/>
        <v>NOI000164</v>
      </c>
      <c r="B165" s="6">
        <v>45932</v>
      </c>
      <c r="C165" s="1" t="s">
        <v>66</v>
      </c>
      <c r="D165" s="1">
        <v>40</v>
      </c>
      <c r="E165" s="8" t="s">
        <v>78</v>
      </c>
      <c r="F165" t="s">
        <v>30</v>
      </c>
      <c r="G165" s="1" t="s">
        <v>41</v>
      </c>
      <c r="H165" t="s">
        <v>62</v>
      </c>
      <c r="I165" s="1" t="s">
        <v>46</v>
      </c>
      <c r="J165" s="1" t="s">
        <v>50</v>
      </c>
      <c r="K165" s="1">
        <v>1</v>
      </c>
      <c r="L165" t="s">
        <v>53</v>
      </c>
      <c r="M165" t="s">
        <v>56</v>
      </c>
      <c r="N165" t="s">
        <v>58</v>
      </c>
      <c r="O165" s="1">
        <v>10</v>
      </c>
      <c r="P165" s="1" t="s">
        <v>60</v>
      </c>
      <c r="Q165" s="10">
        <v>0.97</v>
      </c>
    </row>
    <row r="166" spans="1:17" x14ac:dyDescent="0.35">
      <c r="A166" t="str">
        <f t="shared" si="2"/>
        <v>NOI000165</v>
      </c>
      <c r="B166" s="6">
        <v>45955</v>
      </c>
      <c r="C166" s="1" t="s">
        <v>66</v>
      </c>
      <c r="D166" s="1">
        <v>43</v>
      </c>
      <c r="E166" s="8" t="s">
        <v>78</v>
      </c>
      <c r="F166" t="s">
        <v>35</v>
      </c>
      <c r="G166" s="1" t="s">
        <v>41</v>
      </c>
      <c r="H166" t="s">
        <v>62</v>
      </c>
      <c r="I166" s="1" t="s">
        <v>45</v>
      </c>
      <c r="J166" s="1" t="s">
        <v>51</v>
      </c>
      <c r="K166" s="1">
        <v>1</v>
      </c>
      <c r="L166" t="s">
        <v>54</v>
      </c>
      <c r="M166" t="s">
        <v>56</v>
      </c>
      <c r="N166" t="s">
        <v>58</v>
      </c>
      <c r="O166" s="1">
        <v>7</v>
      </c>
      <c r="P166" s="1" t="s">
        <v>60</v>
      </c>
      <c r="Q166" s="10">
        <v>0.98</v>
      </c>
    </row>
    <row r="167" spans="1:17" x14ac:dyDescent="0.35">
      <c r="A167" t="str">
        <f t="shared" si="2"/>
        <v>NOI000166</v>
      </c>
      <c r="B167" s="6">
        <v>45896</v>
      </c>
      <c r="C167" s="1" t="s">
        <v>74</v>
      </c>
      <c r="D167" s="1">
        <v>35</v>
      </c>
      <c r="E167" s="8" t="s">
        <v>79</v>
      </c>
      <c r="F167" t="s">
        <v>25</v>
      </c>
      <c r="G167" s="1" t="s">
        <v>40</v>
      </c>
      <c r="H167" t="s">
        <v>63</v>
      </c>
      <c r="I167" s="1" t="s">
        <v>48</v>
      </c>
      <c r="J167" s="1" t="s">
        <v>51</v>
      </c>
      <c r="K167" s="1">
        <v>1</v>
      </c>
      <c r="L167" t="s">
        <v>53</v>
      </c>
      <c r="M167" t="s">
        <v>56</v>
      </c>
      <c r="N167" t="s">
        <v>58</v>
      </c>
      <c r="O167" s="1">
        <v>6</v>
      </c>
      <c r="P167" s="1" t="s">
        <v>60</v>
      </c>
      <c r="Q167" s="10">
        <v>0.95</v>
      </c>
    </row>
    <row r="168" spans="1:17" x14ac:dyDescent="0.35">
      <c r="A168" t="str">
        <f t="shared" si="2"/>
        <v>NOI000167</v>
      </c>
      <c r="B168" s="6">
        <v>45865</v>
      </c>
      <c r="C168" s="1" t="s">
        <v>70</v>
      </c>
      <c r="D168" s="1">
        <v>31</v>
      </c>
      <c r="E168" s="8" t="s">
        <v>79</v>
      </c>
      <c r="F168" t="s">
        <v>18</v>
      </c>
      <c r="G168" s="1" t="s">
        <v>40</v>
      </c>
      <c r="H168" t="s">
        <v>62</v>
      </c>
      <c r="I168" s="1" t="s">
        <v>46</v>
      </c>
      <c r="J168" s="1" t="s">
        <v>51</v>
      </c>
      <c r="K168" s="1">
        <v>1</v>
      </c>
      <c r="L168" t="s">
        <v>53</v>
      </c>
      <c r="M168" t="s">
        <v>56</v>
      </c>
      <c r="N168" t="s">
        <v>58</v>
      </c>
      <c r="O168" s="1">
        <v>10</v>
      </c>
      <c r="P168" s="1" t="s">
        <v>60</v>
      </c>
      <c r="Q168" s="10">
        <v>0.94</v>
      </c>
    </row>
    <row r="169" spans="1:17" x14ac:dyDescent="0.35">
      <c r="A169" t="str">
        <f t="shared" si="2"/>
        <v>NOI000168</v>
      </c>
      <c r="B169" s="6">
        <v>45766</v>
      </c>
      <c r="C169" s="1" t="s">
        <v>68</v>
      </c>
      <c r="D169" s="1">
        <v>16</v>
      </c>
      <c r="E169" s="8" t="s">
        <v>76</v>
      </c>
      <c r="F169" t="s">
        <v>24</v>
      </c>
      <c r="G169" s="1" t="s">
        <v>39</v>
      </c>
      <c r="H169" t="s">
        <v>63</v>
      </c>
      <c r="I169" s="1" t="s">
        <v>45</v>
      </c>
      <c r="J169" s="1" t="s">
        <v>50</v>
      </c>
      <c r="K169" s="1">
        <v>1</v>
      </c>
      <c r="L169" t="s">
        <v>53</v>
      </c>
      <c r="M169" t="s">
        <v>56</v>
      </c>
      <c r="N169" t="s">
        <v>58</v>
      </c>
      <c r="O169" s="1">
        <v>10</v>
      </c>
      <c r="P169" s="1" t="s">
        <v>60</v>
      </c>
      <c r="Q169" s="10">
        <v>0.99</v>
      </c>
    </row>
    <row r="170" spans="1:17" x14ac:dyDescent="0.35">
      <c r="A170" t="str">
        <f t="shared" si="2"/>
        <v>NOI000169</v>
      </c>
      <c r="B170" s="6">
        <v>45992</v>
      </c>
      <c r="C170" s="1" t="s">
        <v>71</v>
      </c>
      <c r="D170" s="1">
        <v>49</v>
      </c>
      <c r="E170" s="8" t="s">
        <v>78</v>
      </c>
      <c r="F170" t="s">
        <v>35</v>
      </c>
      <c r="G170" s="1" t="s">
        <v>37</v>
      </c>
      <c r="H170" t="s">
        <v>62</v>
      </c>
      <c r="I170" s="1" t="s">
        <v>48</v>
      </c>
      <c r="J170" s="1" t="s">
        <v>51</v>
      </c>
      <c r="K170" s="1">
        <v>1</v>
      </c>
      <c r="L170" t="s">
        <v>54</v>
      </c>
      <c r="M170" t="s">
        <v>56</v>
      </c>
      <c r="N170" t="s">
        <v>58</v>
      </c>
      <c r="O170" s="1">
        <v>9</v>
      </c>
      <c r="P170" s="1" t="s">
        <v>60</v>
      </c>
      <c r="Q170" s="10">
        <v>0.94</v>
      </c>
    </row>
    <row r="171" spans="1:17" x14ac:dyDescent="0.35">
      <c r="A171" t="str">
        <f t="shared" si="2"/>
        <v>NOI000170</v>
      </c>
      <c r="B171" s="6">
        <v>45795</v>
      </c>
      <c r="C171" s="1" t="s">
        <v>69</v>
      </c>
      <c r="D171" s="1">
        <v>21</v>
      </c>
      <c r="E171" s="8" t="s">
        <v>76</v>
      </c>
      <c r="F171" t="s">
        <v>35</v>
      </c>
      <c r="G171" s="1" t="s">
        <v>37</v>
      </c>
      <c r="H171" t="s">
        <v>62</v>
      </c>
      <c r="I171" s="1" t="s">
        <v>48</v>
      </c>
      <c r="J171" s="1" t="s">
        <v>50</v>
      </c>
      <c r="K171" s="1">
        <v>1</v>
      </c>
      <c r="L171" t="s">
        <v>53</v>
      </c>
      <c r="M171" t="s">
        <v>56</v>
      </c>
      <c r="N171" t="s">
        <v>58</v>
      </c>
      <c r="O171" s="1">
        <v>9</v>
      </c>
      <c r="P171" s="1" t="s">
        <v>60</v>
      </c>
      <c r="Q171" s="10">
        <v>0.99</v>
      </c>
    </row>
    <row r="172" spans="1:17" x14ac:dyDescent="0.35">
      <c r="A172" t="str">
        <f t="shared" si="2"/>
        <v>NOI000171</v>
      </c>
      <c r="B172" s="6">
        <v>45699</v>
      </c>
      <c r="C172" s="1" t="s">
        <v>75</v>
      </c>
      <c r="D172" s="1">
        <v>7</v>
      </c>
      <c r="E172" s="8" t="s">
        <v>77</v>
      </c>
      <c r="F172" t="s">
        <v>28</v>
      </c>
      <c r="G172" s="1" t="s">
        <v>41</v>
      </c>
      <c r="H172" t="s">
        <v>62</v>
      </c>
      <c r="I172" s="1" t="s">
        <v>42</v>
      </c>
      <c r="J172" s="1" t="s">
        <v>51</v>
      </c>
      <c r="K172" s="1">
        <v>1</v>
      </c>
      <c r="L172" t="s">
        <v>54</v>
      </c>
      <c r="M172" t="s">
        <v>56</v>
      </c>
      <c r="N172" t="s">
        <v>58</v>
      </c>
      <c r="O172" s="1">
        <v>7</v>
      </c>
      <c r="P172" s="1" t="s">
        <v>60</v>
      </c>
      <c r="Q172" s="10">
        <v>0.98</v>
      </c>
    </row>
    <row r="173" spans="1:17" x14ac:dyDescent="0.35">
      <c r="A173" t="str">
        <f t="shared" si="2"/>
        <v>NOI000172</v>
      </c>
      <c r="B173" s="6">
        <v>45729</v>
      </c>
      <c r="C173" s="1" t="s">
        <v>65</v>
      </c>
      <c r="D173" s="1">
        <v>11</v>
      </c>
      <c r="E173" s="8" t="s">
        <v>77</v>
      </c>
      <c r="F173" t="s">
        <v>34</v>
      </c>
      <c r="G173" s="1" t="s">
        <v>39</v>
      </c>
      <c r="H173" t="s">
        <v>63</v>
      </c>
      <c r="I173" s="1" t="s">
        <v>49</v>
      </c>
      <c r="J173" s="1" t="s">
        <v>50</v>
      </c>
      <c r="K173" s="1">
        <v>1</v>
      </c>
      <c r="L173" t="s">
        <v>53</v>
      </c>
      <c r="M173" t="s">
        <v>56</v>
      </c>
      <c r="N173" t="s">
        <v>58</v>
      </c>
      <c r="O173" s="1">
        <v>9</v>
      </c>
      <c r="P173" s="1" t="s">
        <v>60</v>
      </c>
      <c r="Q173" s="10">
        <v>0.97</v>
      </c>
    </row>
    <row r="174" spans="1:17" x14ac:dyDescent="0.35">
      <c r="A174" t="str">
        <f t="shared" si="2"/>
        <v>NOI000173</v>
      </c>
      <c r="B174" s="6">
        <v>45902</v>
      </c>
      <c r="C174" s="1" t="s">
        <v>72</v>
      </c>
      <c r="D174" s="1">
        <v>36</v>
      </c>
      <c r="E174" s="8" t="s">
        <v>79</v>
      </c>
      <c r="F174" t="s">
        <v>19</v>
      </c>
      <c r="G174" s="1" t="s">
        <v>40</v>
      </c>
      <c r="H174" t="s">
        <v>62</v>
      </c>
      <c r="I174" s="1" t="s">
        <v>49</v>
      </c>
      <c r="J174" s="1" t="s">
        <v>50</v>
      </c>
      <c r="K174" s="1">
        <v>1</v>
      </c>
      <c r="L174" t="s">
        <v>54</v>
      </c>
      <c r="M174" t="s">
        <v>56</v>
      </c>
      <c r="N174" t="s">
        <v>58</v>
      </c>
      <c r="O174" s="1">
        <v>9</v>
      </c>
      <c r="P174" s="1" t="s">
        <v>60</v>
      </c>
      <c r="Q174" s="10">
        <v>0.94</v>
      </c>
    </row>
    <row r="175" spans="1:17" x14ac:dyDescent="0.35">
      <c r="A175" t="str">
        <f t="shared" si="2"/>
        <v>NOI000174</v>
      </c>
      <c r="B175" s="6">
        <v>45676</v>
      </c>
      <c r="C175" s="1" t="s">
        <v>67</v>
      </c>
      <c r="D175" s="1">
        <v>4</v>
      </c>
      <c r="E175" s="8" t="s">
        <v>77</v>
      </c>
      <c r="F175" t="s">
        <v>21</v>
      </c>
      <c r="G175" s="1" t="s">
        <v>37</v>
      </c>
      <c r="H175" t="s">
        <v>62</v>
      </c>
      <c r="I175" s="1" t="s">
        <v>46</v>
      </c>
      <c r="J175" s="1" t="s">
        <v>51</v>
      </c>
      <c r="K175" s="1">
        <v>1</v>
      </c>
      <c r="L175" t="s">
        <v>53</v>
      </c>
      <c r="M175" t="s">
        <v>56</v>
      </c>
      <c r="N175" t="s">
        <v>58</v>
      </c>
      <c r="O175" s="1">
        <v>10</v>
      </c>
      <c r="P175" s="1" t="s">
        <v>60</v>
      </c>
      <c r="Q175" s="10">
        <v>0.99</v>
      </c>
    </row>
    <row r="176" spans="1:17" x14ac:dyDescent="0.35">
      <c r="A176" t="str">
        <f t="shared" si="2"/>
        <v>NOI000175</v>
      </c>
      <c r="B176" s="6">
        <v>45860</v>
      </c>
      <c r="C176" s="1" t="s">
        <v>70</v>
      </c>
      <c r="D176" s="1">
        <v>30</v>
      </c>
      <c r="E176" s="8" t="s">
        <v>79</v>
      </c>
      <c r="F176" t="s">
        <v>32</v>
      </c>
      <c r="G176" s="1" t="s">
        <v>38</v>
      </c>
      <c r="H176" t="s">
        <v>63</v>
      </c>
      <c r="I176" s="1" t="s">
        <v>47</v>
      </c>
      <c r="J176" s="1" t="s">
        <v>51</v>
      </c>
      <c r="K176" s="1">
        <v>1</v>
      </c>
      <c r="L176" t="s">
        <v>53</v>
      </c>
      <c r="M176" t="s">
        <v>56</v>
      </c>
      <c r="N176" t="s">
        <v>58</v>
      </c>
      <c r="O176" s="1">
        <v>8</v>
      </c>
      <c r="P176" s="1" t="s">
        <v>60</v>
      </c>
      <c r="Q176" s="10">
        <v>0.95</v>
      </c>
    </row>
    <row r="177" spans="1:17" x14ac:dyDescent="0.35">
      <c r="A177" t="str">
        <f t="shared" si="2"/>
        <v>NOI000176</v>
      </c>
      <c r="B177" s="6">
        <v>45758</v>
      </c>
      <c r="C177" s="1" t="s">
        <v>68</v>
      </c>
      <c r="D177" s="1">
        <v>15</v>
      </c>
      <c r="E177" s="8" t="s">
        <v>76</v>
      </c>
      <c r="F177" t="s">
        <v>27</v>
      </c>
      <c r="G177" s="1" t="s">
        <v>40</v>
      </c>
      <c r="H177" t="s">
        <v>63</v>
      </c>
      <c r="I177" s="1" t="s">
        <v>47</v>
      </c>
      <c r="J177" s="1" t="s">
        <v>50</v>
      </c>
      <c r="K177" s="1">
        <v>1</v>
      </c>
      <c r="L177" t="s">
        <v>53</v>
      </c>
      <c r="M177" t="s">
        <v>56</v>
      </c>
      <c r="N177" t="s">
        <v>58</v>
      </c>
      <c r="O177" s="1">
        <v>6</v>
      </c>
      <c r="P177" s="1" t="s">
        <v>60</v>
      </c>
      <c r="Q177" s="10">
        <v>0.99</v>
      </c>
    </row>
    <row r="178" spans="1:17" x14ac:dyDescent="0.35">
      <c r="A178" t="str">
        <f t="shared" si="2"/>
        <v>NOI000177</v>
      </c>
      <c r="B178" s="6">
        <v>45839</v>
      </c>
      <c r="C178" s="1" t="s">
        <v>70</v>
      </c>
      <c r="D178" s="1">
        <v>27</v>
      </c>
      <c r="E178" s="8" t="s">
        <v>79</v>
      </c>
      <c r="F178" t="s">
        <v>20</v>
      </c>
      <c r="G178" s="1" t="s">
        <v>40</v>
      </c>
      <c r="H178" t="s">
        <v>62</v>
      </c>
      <c r="I178" s="1" t="s">
        <v>42</v>
      </c>
      <c r="J178" s="1" t="s">
        <v>50</v>
      </c>
      <c r="K178" s="1">
        <v>1</v>
      </c>
      <c r="L178" t="s">
        <v>53</v>
      </c>
      <c r="M178" t="s">
        <v>56</v>
      </c>
      <c r="N178" t="s">
        <v>58</v>
      </c>
      <c r="O178" s="1">
        <v>9</v>
      </c>
      <c r="P178" s="1" t="s">
        <v>60</v>
      </c>
      <c r="Q178" s="10">
        <v>0.96</v>
      </c>
    </row>
    <row r="179" spans="1:17" x14ac:dyDescent="0.35">
      <c r="A179" t="str">
        <f t="shared" si="2"/>
        <v>NOI000178</v>
      </c>
      <c r="B179" s="6">
        <v>45956</v>
      </c>
      <c r="C179" s="1" t="s">
        <v>66</v>
      </c>
      <c r="D179" s="1">
        <v>44</v>
      </c>
      <c r="E179" s="8" t="s">
        <v>78</v>
      </c>
      <c r="F179" t="s">
        <v>19</v>
      </c>
      <c r="G179" s="1" t="s">
        <v>38</v>
      </c>
      <c r="H179" t="s">
        <v>63</v>
      </c>
      <c r="I179" s="1" t="s">
        <v>44</v>
      </c>
      <c r="J179" s="1" t="s">
        <v>51</v>
      </c>
      <c r="K179" s="1">
        <v>1</v>
      </c>
      <c r="L179" t="s">
        <v>54</v>
      </c>
      <c r="M179" t="s">
        <v>56</v>
      </c>
      <c r="N179" t="s">
        <v>58</v>
      </c>
      <c r="O179" s="1">
        <v>9</v>
      </c>
      <c r="P179" s="1" t="s">
        <v>60</v>
      </c>
      <c r="Q179" s="10">
        <v>0.97</v>
      </c>
    </row>
    <row r="180" spans="1:17" x14ac:dyDescent="0.35">
      <c r="A180" t="str">
        <f t="shared" si="2"/>
        <v>NOI000179</v>
      </c>
      <c r="B180" s="6">
        <v>45902</v>
      </c>
      <c r="C180" s="1" t="s">
        <v>72</v>
      </c>
      <c r="D180" s="1">
        <v>36</v>
      </c>
      <c r="E180" s="8" t="s">
        <v>79</v>
      </c>
      <c r="F180" t="s">
        <v>29</v>
      </c>
      <c r="G180" s="1" t="s">
        <v>41</v>
      </c>
      <c r="H180" t="s">
        <v>62</v>
      </c>
      <c r="I180" s="1" t="s">
        <v>43</v>
      </c>
      <c r="J180" s="1" t="s">
        <v>50</v>
      </c>
      <c r="K180" s="1">
        <v>1</v>
      </c>
      <c r="L180" t="s">
        <v>54</v>
      </c>
      <c r="M180" t="s">
        <v>56</v>
      </c>
      <c r="N180" t="s">
        <v>58</v>
      </c>
      <c r="O180" s="1">
        <v>6</v>
      </c>
      <c r="P180" s="1" t="s">
        <v>60</v>
      </c>
      <c r="Q180" s="10">
        <v>0.97</v>
      </c>
    </row>
    <row r="181" spans="1:17" x14ac:dyDescent="0.35">
      <c r="A181" t="str">
        <f t="shared" si="2"/>
        <v>NOI000180</v>
      </c>
      <c r="B181" s="6">
        <v>45979</v>
      </c>
      <c r="C181" s="1" t="s">
        <v>73</v>
      </c>
      <c r="D181" s="1">
        <v>47</v>
      </c>
      <c r="E181" s="8" t="s">
        <v>78</v>
      </c>
      <c r="F181" t="s">
        <v>21</v>
      </c>
      <c r="G181" s="1" t="s">
        <v>40</v>
      </c>
      <c r="H181" t="s">
        <v>62</v>
      </c>
      <c r="I181" s="1" t="s">
        <v>45</v>
      </c>
      <c r="J181" s="1" t="s">
        <v>50</v>
      </c>
      <c r="K181" s="1">
        <v>1</v>
      </c>
      <c r="L181" t="s">
        <v>53</v>
      </c>
      <c r="M181" t="s">
        <v>56</v>
      </c>
      <c r="N181" t="s">
        <v>58</v>
      </c>
      <c r="O181" s="1">
        <v>9</v>
      </c>
      <c r="P181" s="1" t="s">
        <v>60</v>
      </c>
      <c r="Q181" s="10">
        <v>0.98</v>
      </c>
    </row>
    <row r="182" spans="1:17" x14ac:dyDescent="0.35">
      <c r="A182" t="str">
        <f t="shared" si="2"/>
        <v>NOI000181</v>
      </c>
      <c r="B182" s="6">
        <v>46004</v>
      </c>
      <c r="C182" s="1" t="s">
        <v>71</v>
      </c>
      <c r="D182" s="1">
        <v>50</v>
      </c>
      <c r="E182" s="8" t="s">
        <v>78</v>
      </c>
      <c r="F182" t="s">
        <v>31</v>
      </c>
      <c r="G182" s="1" t="s">
        <v>39</v>
      </c>
      <c r="H182" t="s">
        <v>62</v>
      </c>
      <c r="I182" s="1" t="s">
        <v>43</v>
      </c>
      <c r="J182" s="1" t="s">
        <v>50</v>
      </c>
      <c r="K182" s="1">
        <v>1</v>
      </c>
      <c r="L182" t="s">
        <v>53</v>
      </c>
      <c r="M182" t="s">
        <v>56</v>
      </c>
      <c r="N182" t="s">
        <v>58</v>
      </c>
      <c r="O182" s="1">
        <v>8</v>
      </c>
      <c r="P182" s="1" t="s">
        <v>60</v>
      </c>
      <c r="Q182" s="10">
        <v>0.94</v>
      </c>
    </row>
    <row r="183" spans="1:17" x14ac:dyDescent="0.35">
      <c r="A183" t="str">
        <f t="shared" si="2"/>
        <v>NOI000182</v>
      </c>
      <c r="B183" s="6">
        <v>45849</v>
      </c>
      <c r="C183" s="1" t="s">
        <v>70</v>
      </c>
      <c r="D183" s="1">
        <v>28</v>
      </c>
      <c r="E183" s="8" t="s">
        <v>79</v>
      </c>
      <c r="F183" t="s">
        <v>36</v>
      </c>
      <c r="G183" s="1" t="s">
        <v>39</v>
      </c>
      <c r="H183" t="s">
        <v>62</v>
      </c>
      <c r="I183" s="1" t="s">
        <v>47</v>
      </c>
      <c r="J183" s="1" t="s">
        <v>51</v>
      </c>
      <c r="K183" s="1">
        <v>1</v>
      </c>
      <c r="L183" t="s">
        <v>53</v>
      </c>
      <c r="M183" t="s">
        <v>57</v>
      </c>
      <c r="N183" t="s">
        <v>58</v>
      </c>
      <c r="O183" s="1">
        <v>10</v>
      </c>
      <c r="P183" s="1" t="s">
        <v>60</v>
      </c>
      <c r="Q183" s="10">
        <v>0.96</v>
      </c>
    </row>
    <row r="184" spans="1:17" x14ac:dyDescent="0.35">
      <c r="A184" t="str">
        <f t="shared" si="2"/>
        <v>NOI000183</v>
      </c>
      <c r="B184" s="6">
        <v>45910</v>
      </c>
      <c r="C184" s="1" t="s">
        <v>72</v>
      </c>
      <c r="D184" s="1">
        <v>37</v>
      </c>
      <c r="E184" s="8" t="s">
        <v>79</v>
      </c>
      <c r="F184" t="s">
        <v>25</v>
      </c>
      <c r="G184" s="1" t="s">
        <v>39</v>
      </c>
      <c r="H184" t="s">
        <v>62</v>
      </c>
      <c r="I184" s="1" t="s">
        <v>45</v>
      </c>
      <c r="J184" s="1" t="s">
        <v>50</v>
      </c>
      <c r="K184" s="1">
        <v>1</v>
      </c>
      <c r="L184" t="s">
        <v>54</v>
      </c>
      <c r="M184" t="s">
        <v>56</v>
      </c>
      <c r="N184" t="s">
        <v>58</v>
      </c>
      <c r="O184" s="1">
        <v>7</v>
      </c>
      <c r="P184" s="1" t="s">
        <v>60</v>
      </c>
      <c r="Q184" s="10">
        <v>0.96</v>
      </c>
    </row>
    <row r="185" spans="1:17" x14ac:dyDescent="0.35">
      <c r="A185" t="str">
        <f t="shared" si="2"/>
        <v>NOI000184</v>
      </c>
      <c r="B185" s="6">
        <v>45756</v>
      </c>
      <c r="C185" s="1" t="s">
        <v>68</v>
      </c>
      <c r="D185" s="1">
        <v>15</v>
      </c>
      <c r="E185" s="8" t="s">
        <v>76</v>
      </c>
      <c r="F185" t="s">
        <v>20</v>
      </c>
      <c r="G185" s="1" t="s">
        <v>39</v>
      </c>
      <c r="H185" t="s">
        <v>62</v>
      </c>
      <c r="I185" s="1" t="s">
        <v>48</v>
      </c>
      <c r="J185" s="1" t="s">
        <v>50</v>
      </c>
      <c r="K185" s="1">
        <v>1</v>
      </c>
      <c r="L185" t="s">
        <v>53</v>
      </c>
      <c r="M185" t="s">
        <v>56</v>
      </c>
      <c r="N185" t="s">
        <v>58</v>
      </c>
      <c r="O185" s="1">
        <v>10</v>
      </c>
      <c r="P185" s="1" t="s">
        <v>60</v>
      </c>
      <c r="Q185" s="10">
        <v>0.96</v>
      </c>
    </row>
    <row r="186" spans="1:17" x14ac:dyDescent="0.35">
      <c r="A186" t="str">
        <f t="shared" si="2"/>
        <v>NOI000185</v>
      </c>
      <c r="B186" s="6">
        <v>45971</v>
      </c>
      <c r="C186" s="1" t="s">
        <v>73</v>
      </c>
      <c r="D186" s="1">
        <v>46</v>
      </c>
      <c r="E186" s="8" t="s">
        <v>78</v>
      </c>
      <c r="F186" t="s">
        <v>31</v>
      </c>
      <c r="G186" s="1" t="s">
        <v>40</v>
      </c>
      <c r="H186" t="s">
        <v>62</v>
      </c>
      <c r="I186" s="1" t="s">
        <v>47</v>
      </c>
      <c r="J186" s="1" t="s">
        <v>50</v>
      </c>
      <c r="K186" s="1">
        <v>1</v>
      </c>
      <c r="L186" t="s">
        <v>54</v>
      </c>
      <c r="M186" t="s">
        <v>56</v>
      </c>
      <c r="N186" t="s">
        <v>58</v>
      </c>
      <c r="O186" s="1">
        <v>7</v>
      </c>
      <c r="P186" s="1" t="s">
        <v>60</v>
      </c>
      <c r="Q186" s="10">
        <v>0.95</v>
      </c>
    </row>
    <row r="187" spans="1:17" x14ac:dyDescent="0.35">
      <c r="A187" t="str">
        <f t="shared" si="2"/>
        <v>NOI000186</v>
      </c>
      <c r="B187" s="6">
        <v>45735</v>
      </c>
      <c r="C187" s="1" t="s">
        <v>65</v>
      </c>
      <c r="D187" s="1">
        <v>12</v>
      </c>
      <c r="E187" s="8" t="s">
        <v>77</v>
      </c>
      <c r="F187" t="s">
        <v>32</v>
      </c>
      <c r="G187" s="1" t="s">
        <v>41</v>
      </c>
      <c r="H187" t="s">
        <v>62</v>
      </c>
      <c r="I187" s="1" t="s">
        <v>46</v>
      </c>
      <c r="J187" s="1" t="s">
        <v>51</v>
      </c>
      <c r="K187" s="1">
        <v>1</v>
      </c>
      <c r="L187" t="s">
        <v>54</v>
      </c>
      <c r="M187" t="s">
        <v>56</v>
      </c>
      <c r="N187" t="s">
        <v>58</v>
      </c>
      <c r="O187" s="1">
        <v>10</v>
      </c>
      <c r="P187" s="1" t="s">
        <v>60</v>
      </c>
      <c r="Q187" s="10">
        <v>0.95</v>
      </c>
    </row>
    <row r="188" spans="1:17" x14ac:dyDescent="0.35">
      <c r="A188" t="str">
        <f t="shared" si="2"/>
        <v>NOI000187</v>
      </c>
      <c r="B188" s="6">
        <v>45670</v>
      </c>
      <c r="C188" s="1" t="s">
        <v>67</v>
      </c>
      <c r="D188" s="1">
        <v>3</v>
      </c>
      <c r="E188" s="8" t="s">
        <v>77</v>
      </c>
      <c r="F188" t="s">
        <v>24</v>
      </c>
      <c r="G188" s="1" t="s">
        <v>40</v>
      </c>
      <c r="H188" t="s">
        <v>62</v>
      </c>
      <c r="I188" s="1" t="s">
        <v>47</v>
      </c>
      <c r="J188" s="1" t="s">
        <v>51</v>
      </c>
      <c r="K188" s="1">
        <v>1</v>
      </c>
      <c r="L188" t="s">
        <v>53</v>
      </c>
      <c r="M188" t="s">
        <v>56</v>
      </c>
      <c r="N188" t="s">
        <v>58</v>
      </c>
      <c r="O188" s="1">
        <v>6</v>
      </c>
      <c r="P188" s="1" t="s">
        <v>60</v>
      </c>
      <c r="Q188" s="10">
        <v>0.99</v>
      </c>
    </row>
    <row r="189" spans="1:17" x14ac:dyDescent="0.35">
      <c r="A189" t="str">
        <f t="shared" si="2"/>
        <v>NOI000188</v>
      </c>
      <c r="B189" s="6">
        <v>45828</v>
      </c>
      <c r="C189" s="1" t="s">
        <v>64</v>
      </c>
      <c r="D189" s="1">
        <v>25</v>
      </c>
      <c r="E189" s="8" t="s">
        <v>76</v>
      </c>
      <c r="F189" t="s">
        <v>21</v>
      </c>
      <c r="G189" s="1" t="s">
        <v>41</v>
      </c>
      <c r="H189" t="s">
        <v>62</v>
      </c>
      <c r="I189" s="1" t="s">
        <v>49</v>
      </c>
      <c r="J189" s="1" t="s">
        <v>51</v>
      </c>
      <c r="K189" s="1">
        <v>1</v>
      </c>
      <c r="L189" t="s">
        <v>54</v>
      </c>
      <c r="M189" t="s">
        <v>56</v>
      </c>
      <c r="N189" t="s">
        <v>58</v>
      </c>
      <c r="O189" s="1">
        <v>7</v>
      </c>
      <c r="P189" s="1" t="s">
        <v>60</v>
      </c>
      <c r="Q189" s="10">
        <v>0.96</v>
      </c>
    </row>
    <row r="190" spans="1:17" x14ac:dyDescent="0.35">
      <c r="A190" t="str">
        <f t="shared" si="2"/>
        <v>NOI000189</v>
      </c>
      <c r="B190" s="6">
        <v>45920</v>
      </c>
      <c r="C190" s="1" t="s">
        <v>72</v>
      </c>
      <c r="D190" s="1">
        <v>38</v>
      </c>
      <c r="E190" s="8" t="s">
        <v>79</v>
      </c>
      <c r="F190" t="s">
        <v>36</v>
      </c>
      <c r="G190" s="1" t="s">
        <v>38</v>
      </c>
      <c r="H190" t="s">
        <v>62</v>
      </c>
      <c r="I190" s="1" t="s">
        <v>48</v>
      </c>
      <c r="J190" s="1" t="s">
        <v>51</v>
      </c>
      <c r="K190" s="1">
        <v>1</v>
      </c>
      <c r="L190" t="s">
        <v>53</v>
      </c>
      <c r="M190" t="s">
        <v>56</v>
      </c>
      <c r="N190" t="s">
        <v>58</v>
      </c>
      <c r="O190" s="1">
        <v>6</v>
      </c>
      <c r="P190" s="1" t="s">
        <v>60</v>
      </c>
      <c r="Q190" s="10">
        <v>0.97</v>
      </c>
    </row>
    <row r="191" spans="1:17" x14ac:dyDescent="0.35">
      <c r="A191" t="str">
        <f t="shared" si="2"/>
        <v>NOI000190</v>
      </c>
      <c r="B191" s="6">
        <v>46018</v>
      </c>
      <c r="C191" s="1" t="s">
        <v>71</v>
      </c>
      <c r="D191" s="1">
        <v>52</v>
      </c>
      <c r="E191" s="8" t="s">
        <v>78</v>
      </c>
      <c r="F191" t="s">
        <v>27</v>
      </c>
      <c r="G191" s="1" t="s">
        <v>37</v>
      </c>
      <c r="H191" t="s">
        <v>63</v>
      </c>
      <c r="I191" s="1" t="s">
        <v>43</v>
      </c>
      <c r="J191" s="1" t="s">
        <v>50</v>
      </c>
      <c r="K191" s="1">
        <v>1</v>
      </c>
      <c r="L191" t="s">
        <v>53</v>
      </c>
      <c r="M191" t="s">
        <v>56</v>
      </c>
      <c r="N191" t="s">
        <v>58</v>
      </c>
      <c r="O191" s="1">
        <v>10</v>
      </c>
      <c r="P191" s="1" t="s">
        <v>60</v>
      </c>
      <c r="Q191" s="10">
        <v>0.94</v>
      </c>
    </row>
    <row r="192" spans="1:17" x14ac:dyDescent="0.35">
      <c r="A192" t="str">
        <f t="shared" si="2"/>
        <v>NOI000191</v>
      </c>
      <c r="B192" s="6">
        <v>45823</v>
      </c>
      <c r="C192" s="1" t="s">
        <v>64</v>
      </c>
      <c r="D192" s="1">
        <v>25</v>
      </c>
      <c r="E192" s="8" t="s">
        <v>76</v>
      </c>
      <c r="F192" t="s">
        <v>28</v>
      </c>
      <c r="G192" s="1" t="s">
        <v>39</v>
      </c>
      <c r="H192" t="s">
        <v>62</v>
      </c>
      <c r="I192" s="1" t="s">
        <v>49</v>
      </c>
      <c r="J192" s="1" t="s">
        <v>50</v>
      </c>
      <c r="K192" s="1">
        <v>1</v>
      </c>
      <c r="L192" t="s">
        <v>53</v>
      </c>
      <c r="M192" t="s">
        <v>56</v>
      </c>
      <c r="N192" t="s">
        <v>58</v>
      </c>
      <c r="O192" s="1">
        <v>7</v>
      </c>
      <c r="P192" s="1" t="s">
        <v>60</v>
      </c>
      <c r="Q192" s="10">
        <v>0.96</v>
      </c>
    </row>
    <row r="193" spans="1:17" x14ac:dyDescent="0.35">
      <c r="A193" t="str">
        <f t="shared" si="2"/>
        <v>NOI000192</v>
      </c>
      <c r="B193" s="6">
        <v>45911</v>
      </c>
      <c r="C193" s="1" t="s">
        <v>72</v>
      </c>
      <c r="D193" s="1">
        <v>37</v>
      </c>
      <c r="E193" s="8" t="s">
        <v>79</v>
      </c>
      <c r="F193" t="s">
        <v>32</v>
      </c>
      <c r="G193" s="1" t="s">
        <v>41</v>
      </c>
      <c r="H193" t="s">
        <v>62</v>
      </c>
      <c r="I193" s="1" t="s">
        <v>49</v>
      </c>
      <c r="J193" s="1" t="s">
        <v>51</v>
      </c>
      <c r="K193" s="1">
        <v>1</v>
      </c>
      <c r="L193" t="s">
        <v>54</v>
      </c>
      <c r="M193" t="s">
        <v>56</v>
      </c>
      <c r="N193" t="s">
        <v>58</v>
      </c>
      <c r="O193" s="1">
        <v>9</v>
      </c>
      <c r="P193" s="1" t="s">
        <v>60</v>
      </c>
      <c r="Q193" s="10">
        <v>0.95</v>
      </c>
    </row>
    <row r="194" spans="1:17" x14ac:dyDescent="0.35">
      <c r="A194" t="str">
        <f t="shared" ref="A194:A257" si="3">"NOI"&amp;TEXT(ROW()-1,"000000")</f>
        <v>NOI000193</v>
      </c>
      <c r="B194" s="6">
        <v>45894</v>
      </c>
      <c r="C194" s="1" t="s">
        <v>74</v>
      </c>
      <c r="D194" s="1">
        <v>35</v>
      </c>
      <c r="E194" s="8" t="s">
        <v>79</v>
      </c>
      <c r="F194" t="s">
        <v>21</v>
      </c>
      <c r="G194" s="1" t="s">
        <v>41</v>
      </c>
      <c r="H194" t="s">
        <v>63</v>
      </c>
      <c r="I194" s="1" t="s">
        <v>42</v>
      </c>
      <c r="J194" s="1" t="s">
        <v>51</v>
      </c>
      <c r="K194" s="1">
        <v>1</v>
      </c>
      <c r="L194" t="s">
        <v>54</v>
      </c>
      <c r="M194" t="s">
        <v>56</v>
      </c>
      <c r="N194" t="s">
        <v>58</v>
      </c>
      <c r="O194" s="1">
        <v>8</v>
      </c>
      <c r="P194" s="1" t="s">
        <v>61</v>
      </c>
      <c r="Q194" s="10">
        <v>0.96</v>
      </c>
    </row>
    <row r="195" spans="1:17" x14ac:dyDescent="0.35">
      <c r="A195" t="str">
        <f t="shared" si="3"/>
        <v>NOI000194</v>
      </c>
      <c r="B195" s="6">
        <v>45762</v>
      </c>
      <c r="C195" s="1" t="s">
        <v>68</v>
      </c>
      <c r="D195" s="1">
        <v>16</v>
      </c>
      <c r="E195" s="8" t="s">
        <v>76</v>
      </c>
      <c r="F195" t="s">
        <v>19</v>
      </c>
      <c r="G195" s="1" t="s">
        <v>37</v>
      </c>
      <c r="H195" t="s">
        <v>62</v>
      </c>
      <c r="I195" s="1" t="s">
        <v>45</v>
      </c>
      <c r="J195" s="1" t="s">
        <v>51</v>
      </c>
      <c r="K195" s="1">
        <v>1</v>
      </c>
      <c r="L195" t="s">
        <v>53</v>
      </c>
      <c r="M195" t="s">
        <v>56</v>
      </c>
      <c r="N195" t="s">
        <v>58</v>
      </c>
      <c r="O195" s="1">
        <v>6</v>
      </c>
      <c r="P195" s="1" t="s">
        <v>60</v>
      </c>
      <c r="Q195" s="10">
        <v>0.99</v>
      </c>
    </row>
    <row r="196" spans="1:17" x14ac:dyDescent="0.35">
      <c r="A196" t="str">
        <f t="shared" si="3"/>
        <v>NOI000195</v>
      </c>
      <c r="B196" s="6">
        <v>45704</v>
      </c>
      <c r="C196" s="1" t="s">
        <v>75</v>
      </c>
      <c r="D196" s="1">
        <v>8</v>
      </c>
      <c r="E196" s="8" t="s">
        <v>77</v>
      </c>
      <c r="F196" t="s">
        <v>33</v>
      </c>
      <c r="G196" s="1" t="s">
        <v>39</v>
      </c>
      <c r="H196" t="s">
        <v>62</v>
      </c>
      <c r="I196" s="1" t="s">
        <v>42</v>
      </c>
      <c r="J196" s="1" t="s">
        <v>50</v>
      </c>
      <c r="K196" s="1">
        <v>1</v>
      </c>
      <c r="L196" t="s">
        <v>53</v>
      </c>
      <c r="M196" t="s">
        <v>56</v>
      </c>
      <c r="N196" t="s">
        <v>58</v>
      </c>
      <c r="O196" s="1">
        <v>6</v>
      </c>
      <c r="P196" s="1" t="s">
        <v>60</v>
      </c>
      <c r="Q196" s="10">
        <v>0.97</v>
      </c>
    </row>
    <row r="197" spans="1:17" x14ac:dyDescent="0.35">
      <c r="A197" t="str">
        <f t="shared" si="3"/>
        <v>NOI000196</v>
      </c>
      <c r="B197" s="6">
        <v>45775</v>
      </c>
      <c r="C197" s="1" t="s">
        <v>68</v>
      </c>
      <c r="D197" s="1">
        <v>18</v>
      </c>
      <c r="E197" s="8" t="s">
        <v>76</v>
      </c>
      <c r="F197" t="s">
        <v>22</v>
      </c>
      <c r="G197" s="1" t="s">
        <v>40</v>
      </c>
      <c r="H197" t="s">
        <v>62</v>
      </c>
      <c r="I197" s="1" t="s">
        <v>48</v>
      </c>
      <c r="J197" s="1" t="s">
        <v>50</v>
      </c>
      <c r="K197" s="1">
        <v>1</v>
      </c>
      <c r="L197" t="s">
        <v>54</v>
      </c>
      <c r="M197" t="s">
        <v>56</v>
      </c>
      <c r="N197" t="s">
        <v>58</v>
      </c>
      <c r="O197" s="1">
        <v>6</v>
      </c>
      <c r="P197" s="1" t="s">
        <v>60</v>
      </c>
      <c r="Q197" s="10">
        <v>0.97</v>
      </c>
    </row>
    <row r="198" spans="1:17" x14ac:dyDescent="0.35">
      <c r="A198" t="str">
        <f t="shared" si="3"/>
        <v>NOI000197</v>
      </c>
      <c r="B198" s="6">
        <v>45696</v>
      </c>
      <c r="C198" s="1" t="s">
        <v>75</v>
      </c>
      <c r="D198" s="1">
        <v>6</v>
      </c>
      <c r="E198" s="8" t="s">
        <v>77</v>
      </c>
      <c r="F198" t="s">
        <v>17</v>
      </c>
      <c r="G198" s="1" t="s">
        <v>37</v>
      </c>
      <c r="H198" t="s">
        <v>62</v>
      </c>
      <c r="I198" s="1" t="s">
        <v>49</v>
      </c>
      <c r="J198" s="1" t="s">
        <v>50</v>
      </c>
      <c r="K198" s="1">
        <v>1</v>
      </c>
      <c r="L198" t="s">
        <v>53</v>
      </c>
      <c r="M198" t="s">
        <v>56</v>
      </c>
      <c r="N198" t="s">
        <v>58</v>
      </c>
      <c r="O198" s="1">
        <v>7</v>
      </c>
      <c r="P198" s="1" t="s">
        <v>60</v>
      </c>
      <c r="Q198" s="10">
        <v>0.98</v>
      </c>
    </row>
    <row r="199" spans="1:17" x14ac:dyDescent="0.35">
      <c r="A199" t="str">
        <f t="shared" si="3"/>
        <v>NOI000198</v>
      </c>
      <c r="B199" s="6">
        <v>45989</v>
      </c>
      <c r="C199" s="1" t="s">
        <v>73</v>
      </c>
      <c r="D199" s="1">
        <v>48</v>
      </c>
      <c r="E199" s="8" t="s">
        <v>78</v>
      </c>
      <c r="F199" t="s">
        <v>31</v>
      </c>
      <c r="G199" s="1" t="s">
        <v>40</v>
      </c>
      <c r="H199" t="s">
        <v>63</v>
      </c>
      <c r="I199" s="1" t="s">
        <v>48</v>
      </c>
      <c r="J199" s="1" t="s">
        <v>51</v>
      </c>
      <c r="K199" s="1">
        <v>1</v>
      </c>
      <c r="L199" t="s">
        <v>54</v>
      </c>
      <c r="M199" t="s">
        <v>56</v>
      </c>
      <c r="N199" t="s">
        <v>58</v>
      </c>
      <c r="O199" s="1">
        <v>9</v>
      </c>
      <c r="P199" s="1" t="s">
        <v>60</v>
      </c>
      <c r="Q199" s="10">
        <v>0.94</v>
      </c>
    </row>
    <row r="200" spans="1:17" x14ac:dyDescent="0.35">
      <c r="A200" t="str">
        <f t="shared" si="3"/>
        <v>NOI000199</v>
      </c>
      <c r="B200" s="6">
        <v>45856</v>
      </c>
      <c r="C200" s="1" t="s">
        <v>70</v>
      </c>
      <c r="D200" s="1">
        <v>29</v>
      </c>
      <c r="E200" s="8" t="s">
        <v>79</v>
      </c>
      <c r="F200" t="s">
        <v>26</v>
      </c>
      <c r="G200" s="1" t="s">
        <v>37</v>
      </c>
      <c r="H200" t="s">
        <v>62</v>
      </c>
      <c r="I200" s="1" t="s">
        <v>48</v>
      </c>
      <c r="J200" s="1" t="s">
        <v>51</v>
      </c>
      <c r="K200" s="1">
        <v>1</v>
      </c>
      <c r="L200" t="s">
        <v>53</v>
      </c>
      <c r="M200" t="s">
        <v>56</v>
      </c>
      <c r="N200" t="s">
        <v>58</v>
      </c>
      <c r="O200" s="1">
        <v>7</v>
      </c>
      <c r="P200" s="1" t="s">
        <v>60</v>
      </c>
      <c r="Q200" s="10">
        <v>0.94</v>
      </c>
    </row>
    <row r="201" spans="1:17" x14ac:dyDescent="0.35">
      <c r="A201" t="str">
        <f t="shared" si="3"/>
        <v>NOI000200</v>
      </c>
      <c r="B201" s="6">
        <v>45761</v>
      </c>
      <c r="C201" s="1" t="s">
        <v>68</v>
      </c>
      <c r="D201" s="1">
        <v>16</v>
      </c>
      <c r="E201" s="8" t="s">
        <v>76</v>
      </c>
      <c r="F201" t="s">
        <v>29</v>
      </c>
      <c r="G201" s="1" t="s">
        <v>38</v>
      </c>
      <c r="H201" t="s">
        <v>62</v>
      </c>
      <c r="I201" s="1" t="s">
        <v>44</v>
      </c>
      <c r="J201" s="1" t="s">
        <v>51</v>
      </c>
      <c r="K201" s="1">
        <v>1</v>
      </c>
      <c r="L201" t="s">
        <v>53</v>
      </c>
      <c r="M201" t="s">
        <v>56</v>
      </c>
      <c r="N201" t="s">
        <v>58</v>
      </c>
      <c r="O201" s="1">
        <v>8</v>
      </c>
      <c r="P201" s="1" t="s">
        <v>60</v>
      </c>
      <c r="Q201" s="10">
        <v>0.95</v>
      </c>
    </row>
    <row r="202" spans="1:17" x14ac:dyDescent="0.35">
      <c r="A202" t="str">
        <f t="shared" si="3"/>
        <v>NOI000201</v>
      </c>
      <c r="B202" s="6">
        <v>45917</v>
      </c>
      <c r="C202" s="1" t="s">
        <v>72</v>
      </c>
      <c r="D202" s="1">
        <v>38</v>
      </c>
      <c r="E202" s="8" t="s">
        <v>79</v>
      </c>
      <c r="F202" t="s">
        <v>24</v>
      </c>
      <c r="G202" s="1" t="s">
        <v>38</v>
      </c>
      <c r="H202" t="s">
        <v>62</v>
      </c>
      <c r="I202" s="1" t="s">
        <v>46</v>
      </c>
      <c r="J202" s="1" t="s">
        <v>51</v>
      </c>
      <c r="K202" s="1">
        <v>1</v>
      </c>
      <c r="L202" t="s">
        <v>54</v>
      </c>
      <c r="M202" t="s">
        <v>56</v>
      </c>
      <c r="N202" t="s">
        <v>58</v>
      </c>
      <c r="O202" s="1">
        <v>7</v>
      </c>
      <c r="P202" s="1" t="s">
        <v>60</v>
      </c>
      <c r="Q202" s="10">
        <v>0.99</v>
      </c>
    </row>
    <row r="203" spans="1:17" x14ac:dyDescent="0.35">
      <c r="A203" t="str">
        <f t="shared" si="3"/>
        <v>NOI000202</v>
      </c>
      <c r="B203" s="6">
        <v>45871</v>
      </c>
      <c r="C203" s="1" t="s">
        <v>74</v>
      </c>
      <c r="D203" s="1">
        <v>31</v>
      </c>
      <c r="E203" s="8" t="s">
        <v>79</v>
      </c>
      <c r="F203" t="s">
        <v>30</v>
      </c>
      <c r="G203" s="1" t="s">
        <v>40</v>
      </c>
      <c r="H203" t="s">
        <v>62</v>
      </c>
      <c r="I203" s="1" t="s">
        <v>46</v>
      </c>
      <c r="J203" s="1" t="s">
        <v>50</v>
      </c>
      <c r="K203" s="1">
        <v>1</v>
      </c>
      <c r="L203" t="s">
        <v>54</v>
      </c>
      <c r="M203" t="s">
        <v>57</v>
      </c>
      <c r="N203" t="s">
        <v>58</v>
      </c>
      <c r="O203" s="1">
        <v>7</v>
      </c>
      <c r="P203" s="1" t="s">
        <v>60</v>
      </c>
      <c r="Q203" s="10">
        <v>0.95</v>
      </c>
    </row>
    <row r="204" spans="1:17" x14ac:dyDescent="0.35">
      <c r="A204" t="str">
        <f t="shared" si="3"/>
        <v>NOI000203</v>
      </c>
      <c r="B204" s="6">
        <v>45849</v>
      </c>
      <c r="C204" s="1" t="s">
        <v>70</v>
      </c>
      <c r="D204" s="1">
        <v>28</v>
      </c>
      <c r="E204" s="8" t="s">
        <v>79</v>
      </c>
      <c r="F204" t="s">
        <v>36</v>
      </c>
      <c r="G204" s="1" t="s">
        <v>39</v>
      </c>
      <c r="H204" t="s">
        <v>62</v>
      </c>
      <c r="I204" s="1" t="s">
        <v>42</v>
      </c>
      <c r="J204" s="1" t="s">
        <v>51</v>
      </c>
      <c r="K204" s="1">
        <v>1</v>
      </c>
      <c r="L204" t="s">
        <v>54</v>
      </c>
      <c r="M204" t="s">
        <v>56</v>
      </c>
      <c r="N204" t="s">
        <v>58</v>
      </c>
      <c r="O204" s="1">
        <v>7</v>
      </c>
      <c r="P204" s="1" t="s">
        <v>60</v>
      </c>
      <c r="Q204" s="10">
        <v>0.94</v>
      </c>
    </row>
    <row r="205" spans="1:17" x14ac:dyDescent="0.35">
      <c r="A205" t="str">
        <f t="shared" si="3"/>
        <v>NOI000204</v>
      </c>
      <c r="B205" s="6">
        <v>45906</v>
      </c>
      <c r="C205" s="1" t="s">
        <v>72</v>
      </c>
      <c r="D205" s="1">
        <v>36</v>
      </c>
      <c r="E205" s="8" t="s">
        <v>79</v>
      </c>
      <c r="F205" t="s">
        <v>29</v>
      </c>
      <c r="G205" s="1" t="s">
        <v>41</v>
      </c>
      <c r="H205" t="s">
        <v>63</v>
      </c>
      <c r="I205" s="1" t="s">
        <v>47</v>
      </c>
      <c r="J205" s="1" t="s">
        <v>51</v>
      </c>
      <c r="K205" s="1">
        <v>1</v>
      </c>
      <c r="L205" t="s">
        <v>54</v>
      </c>
      <c r="M205" t="s">
        <v>56</v>
      </c>
      <c r="N205" t="s">
        <v>58</v>
      </c>
      <c r="O205" s="1">
        <v>9</v>
      </c>
      <c r="P205" s="1" t="s">
        <v>60</v>
      </c>
      <c r="Q205" s="10">
        <v>0.94</v>
      </c>
    </row>
    <row r="206" spans="1:17" x14ac:dyDescent="0.35">
      <c r="A206" t="str">
        <f t="shared" si="3"/>
        <v>NOI000205</v>
      </c>
      <c r="B206" s="6">
        <v>45852</v>
      </c>
      <c r="C206" s="1" t="s">
        <v>70</v>
      </c>
      <c r="D206" s="1">
        <v>29</v>
      </c>
      <c r="E206" s="8" t="s">
        <v>79</v>
      </c>
      <c r="F206" t="s">
        <v>17</v>
      </c>
      <c r="G206" s="1" t="s">
        <v>37</v>
      </c>
      <c r="H206" t="s">
        <v>62</v>
      </c>
      <c r="I206" s="1" t="s">
        <v>47</v>
      </c>
      <c r="J206" s="1" t="s">
        <v>51</v>
      </c>
      <c r="K206" s="1">
        <v>1</v>
      </c>
      <c r="L206" t="s">
        <v>54</v>
      </c>
      <c r="M206" t="s">
        <v>56</v>
      </c>
      <c r="N206" t="s">
        <v>58</v>
      </c>
      <c r="O206" s="1">
        <v>7</v>
      </c>
      <c r="P206" s="1" t="s">
        <v>60</v>
      </c>
      <c r="Q206" s="10">
        <v>0.96</v>
      </c>
    </row>
    <row r="207" spans="1:17" x14ac:dyDescent="0.35">
      <c r="A207" t="str">
        <f t="shared" si="3"/>
        <v>NOI000206</v>
      </c>
      <c r="B207" s="6">
        <v>45973</v>
      </c>
      <c r="C207" s="1" t="s">
        <v>73</v>
      </c>
      <c r="D207" s="1">
        <v>46</v>
      </c>
      <c r="E207" s="8" t="s">
        <v>78</v>
      </c>
      <c r="F207" t="s">
        <v>27</v>
      </c>
      <c r="G207" s="1" t="s">
        <v>38</v>
      </c>
      <c r="H207" t="s">
        <v>62</v>
      </c>
      <c r="I207" s="1" t="s">
        <v>42</v>
      </c>
      <c r="J207" s="1" t="s">
        <v>50</v>
      </c>
      <c r="K207" s="1">
        <v>1</v>
      </c>
      <c r="L207" t="s">
        <v>54</v>
      </c>
      <c r="M207" t="s">
        <v>56</v>
      </c>
      <c r="N207" t="s">
        <v>58</v>
      </c>
      <c r="O207" s="1">
        <v>7</v>
      </c>
      <c r="P207" s="1" t="s">
        <v>60</v>
      </c>
      <c r="Q207" s="10">
        <v>0.99</v>
      </c>
    </row>
    <row r="208" spans="1:17" x14ac:dyDescent="0.35">
      <c r="A208" t="str">
        <f t="shared" si="3"/>
        <v>NOI000207</v>
      </c>
      <c r="B208" s="6">
        <v>45958</v>
      </c>
      <c r="C208" s="1" t="s">
        <v>66</v>
      </c>
      <c r="D208" s="1">
        <v>44</v>
      </c>
      <c r="E208" s="8" t="s">
        <v>78</v>
      </c>
      <c r="F208" t="s">
        <v>19</v>
      </c>
      <c r="G208" s="1" t="s">
        <v>40</v>
      </c>
      <c r="H208" t="s">
        <v>62</v>
      </c>
      <c r="I208" s="1" t="s">
        <v>48</v>
      </c>
      <c r="J208" s="1" t="s">
        <v>50</v>
      </c>
      <c r="K208" s="1">
        <v>1</v>
      </c>
      <c r="L208" t="s">
        <v>53</v>
      </c>
      <c r="M208" t="s">
        <v>56</v>
      </c>
      <c r="N208" t="s">
        <v>58</v>
      </c>
      <c r="O208" s="1">
        <v>9</v>
      </c>
      <c r="P208" s="1" t="s">
        <v>60</v>
      </c>
      <c r="Q208" s="10">
        <v>0.98</v>
      </c>
    </row>
    <row r="209" spans="1:17" x14ac:dyDescent="0.35">
      <c r="A209" t="str">
        <f t="shared" si="3"/>
        <v>NOI000208</v>
      </c>
      <c r="B209" s="6">
        <v>45897</v>
      </c>
      <c r="C209" s="1" t="s">
        <v>74</v>
      </c>
      <c r="D209" s="1">
        <v>35</v>
      </c>
      <c r="E209" s="8" t="s">
        <v>79</v>
      </c>
      <c r="F209" t="s">
        <v>35</v>
      </c>
      <c r="G209" s="1" t="s">
        <v>37</v>
      </c>
      <c r="H209" t="s">
        <v>62</v>
      </c>
      <c r="I209" s="1" t="s">
        <v>42</v>
      </c>
      <c r="J209" s="1" t="s">
        <v>51</v>
      </c>
      <c r="K209" s="1">
        <v>1</v>
      </c>
      <c r="L209" t="s">
        <v>53</v>
      </c>
      <c r="M209" t="s">
        <v>56</v>
      </c>
      <c r="N209" t="s">
        <v>58</v>
      </c>
      <c r="O209" s="1">
        <v>10</v>
      </c>
      <c r="P209" s="1" t="s">
        <v>60</v>
      </c>
      <c r="Q209" s="10">
        <v>0.99</v>
      </c>
    </row>
    <row r="210" spans="1:17" x14ac:dyDescent="0.35">
      <c r="A210" t="str">
        <f t="shared" si="3"/>
        <v>NOI000209</v>
      </c>
      <c r="B210" s="6">
        <v>45800</v>
      </c>
      <c r="C210" s="1" t="s">
        <v>69</v>
      </c>
      <c r="D210" s="1">
        <v>21</v>
      </c>
      <c r="E210" s="8" t="s">
        <v>76</v>
      </c>
      <c r="F210" t="s">
        <v>30</v>
      </c>
      <c r="G210" s="1" t="s">
        <v>37</v>
      </c>
      <c r="H210" t="s">
        <v>63</v>
      </c>
      <c r="I210" s="1" t="s">
        <v>45</v>
      </c>
      <c r="J210" s="1" t="s">
        <v>50</v>
      </c>
      <c r="K210" s="1">
        <v>1</v>
      </c>
      <c r="L210" t="s">
        <v>53</v>
      </c>
      <c r="M210" t="s">
        <v>56</v>
      </c>
      <c r="N210" t="s">
        <v>58</v>
      </c>
      <c r="O210" s="1">
        <v>7</v>
      </c>
      <c r="P210" s="1" t="s">
        <v>60</v>
      </c>
      <c r="Q210" s="10">
        <v>0.99</v>
      </c>
    </row>
    <row r="211" spans="1:17" x14ac:dyDescent="0.35">
      <c r="A211" t="str">
        <f t="shared" si="3"/>
        <v>NOI000210</v>
      </c>
      <c r="B211" s="6">
        <v>45712</v>
      </c>
      <c r="C211" s="1" t="s">
        <v>75</v>
      </c>
      <c r="D211" s="1">
        <v>9</v>
      </c>
      <c r="E211" s="8" t="s">
        <v>77</v>
      </c>
      <c r="F211" t="s">
        <v>32</v>
      </c>
      <c r="G211" s="1" t="s">
        <v>39</v>
      </c>
      <c r="H211" t="s">
        <v>63</v>
      </c>
      <c r="I211" s="1" t="s">
        <v>48</v>
      </c>
      <c r="J211" s="1" t="s">
        <v>51</v>
      </c>
      <c r="K211" s="1">
        <v>1</v>
      </c>
      <c r="L211" t="s">
        <v>54</v>
      </c>
      <c r="M211" t="s">
        <v>56</v>
      </c>
      <c r="N211" t="s">
        <v>59</v>
      </c>
      <c r="O211" s="1">
        <v>7</v>
      </c>
      <c r="P211" s="1" t="s">
        <v>60</v>
      </c>
      <c r="Q211" s="10">
        <v>0.99</v>
      </c>
    </row>
    <row r="212" spans="1:17" x14ac:dyDescent="0.35">
      <c r="A212" t="str">
        <f t="shared" si="3"/>
        <v>NOI000211</v>
      </c>
      <c r="B212" s="6">
        <v>45710</v>
      </c>
      <c r="C212" s="1" t="s">
        <v>75</v>
      </c>
      <c r="D212" s="1">
        <v>8</v>
      </c>
      <c r="E212" s="8" t="s">
        <v>77</v>
      </c>
      <c r="F212" t="s">
        <v>19</v>
      </c>
      <c r="G212" s="1" t="s">
        <v>40</v>
      </c>
      <c r="H212" t="s">
        <v>62</v>
      </c>
      <c r="I212" s="1" t="s">
        <v>42</v>
      </c>
      <c r="J212" s="1" t="s">
        <v>50</v>
      </c>
      <c r="K212" s="1">
        <v>1</v>
      </c>
      <c r="L212" t="s">
        <v>54</v>
      </c>
      <c r="M212" t="s">
        <v>56</v>
      </c>
      <c r="N212" t="s">
        <v>58</v>
      </c>
      <c r="O212" s="1">
        <v>10</v>
      </c>
      <c r="P212" s="1" t="s">
        <v>60</v>
      </c>
      <c r="Q212" s="10">
        <v>0.98</v>
      </c>
    </row>
    <row r="213" spans="1:17" x14ac:dyDescent="0.35">
      <c r="A213" t="str">
        <f t="shared" si="3"/>
        <v>NOI000212</v>
      </c>
      <c r="B213" s="6">
        <v>45681</v>
      </c>
      <c r="C213" s="1" t="s">
        <v>67</v>
      </c>
      <c r="D213" s="1">
        <v>4</v>
      </c>
      <c r="E213" s="8" t="s">
        <v>77</v>
      </c>
      <c r="F213" t="s">
        <v>20</v>
      </c>
      <c r="G213" s="1" t="s">
        <v>38</v>
      </c>
      <c r="H213" t="s">
        <v>63</v>
      </c>
      <c r="I213" s="1" t="s">
        <v>47</v>
      </c>
      <c r="J213" s="1" t="s">
        <v>51</v>
      </c>
      <c r="K213" s="1">
        <v>1</v>
      </c>
      <c r="L213" t="s">
        <v>54</v>
      </c>
      <c r="M213" t="s">
        <v>57</v>
      </c>
      <c r="N213" t="s">
        <v>58</v>
      </c>
      <c r="O213" s="1">
        <v>10</v>
      </c>
      <c r="P213" s="1" t="s">
        <v>60</v>
      </c>
      <c r="Q213" s="10">
        <v>0.98</v>
      </c>
    </row>
    <row r="214" spans="1:17" x14ac:dyDescent="0.35">
      <c r="A214" t="str">
        <f t="shared" si="3"/>
        <v>NOI000213</v>
      </c>
      <c r="B214" s="6">
        <v>45721</v>
      </c>
      <c r="C214" s="1" t="s">
        <v>65</v>
      </c>
      <c r="D214" s="1">
        <v>10</v>
      </c>
      <c r="E214" s="8" t="s">
        <v>77</v>
      </c>
      <c r="F214" t="s">
        <v>23</v>
      </c>
      <c r="G214" s="1" t="s">
        <v>40</v>
      </c>
      <c r="H214" t="s">
        <v>62</v>
      </c>
      <c r="I214" s="1" t="s">
        <v>45</v>
      </c>
      <c r="J214" s="1" t="s">
        <v>50</v>
      </c>
      <c r="K214" s="1">
        <v>1</v>
      </c>
      <c r="L214" t="s">
        <v>54</v>
      </c>
      <c r="M214" t="s">
        <v>56</v>
      </c>
      <c r="N214" t="s">
        <v>58</v>
      </c>
      <c r="O214" s="1">
        <v>10</v>
      </c>
      <c r="P214" s="1" t="s">
        <v>60</v>
      </c>
      <c r="Q214" s="10">
        <v>0.96</v>
      </c>
    </row>
    <row r="215" spans="1:17" x14ac:dyDescent="0.35">
      <c r="A215" t="str">
        <f t="shared" si="3"/>
        <v>NOI000214</v>
      </c>
      <c r="B215" s="6">
        <v>45816</v>
      </c>
      <c r="C215" s="1" t="s">
        <v>64</v>
      </c>
      <c r="D215" s="1">
        <v>24</v>
      </c>
      <c r="E215" s="8" t="s">
        <v>76</v>
      </c>
      <c r="F215" t="s">
        <v>21</v>
      </c>
      <c r="G215" s="1" t="s">
        <v>39</v>
      </c>
      <c r="H215" t="s">
        <v>63</v>
      </c>
      <c r="I215" s="1" t="s">
        <v>45</v>
      </c>
      <c r="J215" s="1" t="s">
        <v>50</v>
      </c>
      <c r="K215" s="1">
        <v>1</v>
      </c>
      <c r="L215" t="s">
        <v>53</v>
      </c>
      <c r="M215" t="s">
        <v>56</v>
      </c>
      <c r="N215" t="s">
        <v>58</v>
      </c>
      <c r="O215" s="1">
        <v>9</v>
      </c>
      <c r="P215" s="1" t="s">
        <v>61</v>
      </c>
      <c r="Q215" s="10">
        <v>0.94</v>
      </c>
    </row>
    <row r="216" spans="1:17" x14ac:dyDescent="0.35">
      <c r="A216" t="str">
        <f t="shared" si="3"/>
        <v>NOI000215</v>
      </c>
      <c r="B216" s="6">
        <v>45793</v>
      </c>
      <c r="C216" s="1" t="s">
        <v>69</v>
      </c>
      <c r="D216" s="1">
        <v>20</v>
      </c>
      <c r="E216" s="8" t="s">
        <v>76</v>
      </c>
      <c r="F216" t="s">
        <v>33</v>
      </c>
      <c r="G216" s="1" t="s">
        <v>40</v>
      </c>
      <c r="H216" t="s">
        <v>63</v>
      </c>
      <c r="I216" s="1" t="s">
        <v>42</v>
      </c>
      <c r="J216" s="1" t="s">
        <v>50</v>
      </c>
      <c r="K216" s="1">
        <v>1</v>
      </c>
      <c r="L216" t="s">
        <v>53</v>
      </c>
      <c r="M216" t="s">
        <v>56</v>
      </c>
      <c r="N216" t="s">
        <v>58</v>
      </c>
      <c r="O216" s="1">
        <v>9</v>
      </c>
      <c r="P216" s="1" t="s">
        <v>60</v>
      </c>
      <c r="Q216" s="10">
        <v>0.99</v>
      </c>
    </row>
    <row r="217" spans="1:17" x14ac:dyDescent="0.35">
      <c r="A217" t="str">
        <f t="shared" si="3"/>
        <v>NOI000216</v>
      </c>
      <c r="B217" s="6">
        <v>45913</v>
      </c>
      <c r="C217" s="1" t="s">
        <v>72</v>
      </c>
      <c r="D217" s="1">
        <v>37</v>
      </c>
      <c r="E217" s="8" t="s">
        <v>79</v>
      </c>
      <c r="F217" t="s">
        <v>19</v>
      </c>
      <c r="G217" s="1" t="s">
        <v>40</v>
      </c>
      <c r="H217" t="s">
        <v>63</v>
      </c>
      <c r="I217" s="1" t="s">
        <v>42</v>
      </c>
      <c r="J217" s="1" t="s">
        <v>51</v>
      </c>
      <c r="K217" s="1">
        <v>1</v>
      </c>
      <c r="L217" t="s">
        <v>54</v>
      </c>
      <c r="M217" t="s">
        <v>56</v>
      </c>
      <c r="N217" t="s">
        <v>58</v>
      </c>
      <c r="O217" s="1">
        <v>7</v>
      </c>
      <c r="P217" s="1" t="s">
        <v>60</v>
      </c>
      <c r="Q217" s="10">
        <v>0.96</v>
      </c>
    </row>
    <row r="218" spans="1:17" x14ac:dyDescent="0.35">
      <c r="A218" t="str">
        <f t="shared" si="3"/>
        <v>NOI000217</v>
      </c>
      <c r="B218" s="6">
        <v>45750</v>
      </c>
      <c r="C218" s="1" t="s">
        <v>68</v>
      </c>
      <c r="D218" s="1">
        <v>14</v>
      </c>
      <c r="E218" s="8" t="s">
        <v>76</v>
      </c>
      <c r="F218" t="s">
        <v>27</v>
      </c>
      <c r="G218" s="1" t="s">
        <v>41</v>
      </c>
      <c r="H218" t="s">
        <v>62</v>
      </c>
      <c r="I218" s="1" t="s">
        <v>43</v>
      </c>
      <c r="J218" s="1" t="s">
        <v>51</v>
      </c>
      <c r="K218" s="1">
        <v>1</v>
      </c>
      <c r="L218" t="s">
        <v>54</v>
      </c>
      <c r="M218" t="s">
        <v>56</v>
      </c>
      <c r="N218" t="s">
        <v>58</v>
      </c>
      <c r="O218" s="1">
        <v>10</v>
      </c>
      <c r="P218" s="1" t="s">
        <v>60</v>
      </c>
      <c r="Q218" s="10">
        <v>0.98</v>
      </c>
    </row>
    <row r="219" spans="1:17" x14ac:dyDescent="0.35">
      <c r="A219" t="str">
        <f t="shared" si="3"/>
        <v>NOI000218</v>
      </c>
      <c r="B219" s="6">
        <v>45779</v>
      </c>
      <c r="C219" s="1" t="s">
        <v>69</v>
      </c>
      <c r="D219" s="1">
        <v>18</v>
      </c>
      <c r="E219" s="8" t="s">
        <v>76</v>
      </c>
      <c r="F219" t="s">
        <v>33</v>
      </c>
      <c r="G219" s="1" t="s">
        <v>37</v>
      </c>
      <c r="H219" t="s">
        <v>62</v>
      </c>
      <c r="I219" s="1" t="s">
        <v>42</v>
      </c>
      <c r="J219" s="1" t="s">
        <v>50</v>
      </c>
      <c r="K219" s="1">
        <v>1</v>
      </c>
      <c r="L219" t="s">
        <v>53</v>
      </c>
      <c r="M219" t="s">
        <v>56</v>
      </c>
      <c r="N219" t="s">
        <v>58</v>
      </c>
      <c r="O219" s="1">
        <v>6</v>
      </c>
      <c r="P219" s="1" t="s">
        <v>60</v>
      </c>
      <c r="Q219" s="10">
        <v>0.95</v>
      </c>
    </row>
    <row r="220" spans="1:17" x14ac:dyDescent="0.35">
      <c r="A220" t="str">
        <f t="shared" si="3"/>
        <v>NOI000219</v>
      </c>
      <c r="B220" s="6">
        <v>45703</v>
      </c>
      <c r="C220" s="1" t="s">
        <v>75</v>
      </c>
      <c r="D220" s="1">
        <v>7</v>
      </c>
      <c r="E220" s="8" t="s">
        <v>77</v>
      </c>
      <c r="F220" t="s">
        <v>25</v>
      </c>
      <c r="G220" s="1" t="s">
        <v>39</v>
      </c>
      <c r="H220" t="s">
        <v>62</v>
      </c>
      <c r="I220" s="1" t="s">
        <v>48</v>
      </c>
      <c r="J220" s="1" t="s">
        <v>51</v>
      </c>
      <c r="K220" s="1">
        <v>1</v>
      </c>
      <c r="L220" t="s">
        <v>54</v>
      </c>
      <c r="M220" t="s">
        <v>56</v>
      </c>
      <c r="N220" t="s">
        <v>58</v>
      </c>
      <c r="O220" s="1">
        <v>6</v>
      </c>
      <c r="P220" s="1" t="s">
        <v>61</v>
      </c>
      <c r="Q220" s="10">
        <v>0.94</v>
      </c>
    </row>
    <row r="221" spans="1:17" x14ac:dyDescent="0.35">
      <c r="A221" t="str">
        <f t="shared" si="3"/>
        <v>NOI000220</v>
      </c>
      <c r="B221" s="6">
        <v>45804</v>
      </c>
      <c r="C221" s="1" t="s">
        <v>69</v>
      </c>
      <c r="D221" s="1">
        <v>22</v>
      </c>
      <c r="E221" s="8" t="s">
        <v>76</v>
      </c>
      <c r="F221" t="s">
        <v>36</v>
      </c>
      <c r="G221" s="1" t="s">
        <v>39</v>
      </c>
      <c r="H221" t="s">
        <v>62</v>
      </c>
      <c r="I221" s="1" t="s">
        <v>44</v>
      </c>
      <c r="J221" s="1" t="s">
        <v>51</v>
      </c>
      <c r="K221" s="1">
        <v>1</v>
      </c>
      <c r="L221" t="s">
        <v>53</v>
      </c>
      <c r="M221" t="s">
        <v>56</v>
      </c>
      <c r="N221" t="s">
        <v>58</v>
      </c>
      <c r="O221" s="1">
        <v>7</v>
      </c>
      <c r="P221" s="1" t="s">
        <v>60</v>
      </c>
      <c r="Q221" s="10">
        <v>0.94</v>
      </c>
    </row>
    <row r="222" spans="1:17" x14ac:dyDescent="0.35">
      <c r="A222" t="str">
        <f t="shared" si="3"/>
        <v>NOI000221</v>
      </c>
      <c r="B222" s="6">
        <v>46001</v>
      </c>
      <c r="C222" s="1" t="s">
        <v>71</v>
      </c>
      <c r="D222" s="1">
        <v>50</v>
      </c>
      <c r="E222" s="8" t="s">
        <v>78</v>
      </c>
      <c r="F222" t="s">
        <v>28</v>
      </c>
      <c r="G222" s="1" t="s">
        <v>41</v>
      </c>
      <c r="H222" t="s">
        <v>62</v>
      </c>
      <c r="I222" s="1" t="s">
        <v>46</v>
      </c>
      <c r="J222" s="1" t="s">
        <v>50</v>
      </c>
      <c r="K222" s="1">
        <v>1</v>
      </c>
      <c r="L222" t="s">
        <v>53</v>
      </c>
      <c r="M222" t="s">
        <v>56</v>
      </c>
      <c r="N222" t="s">
        <v>58</v>
      </c>
      <c r="O222" s="1">
        <v>8</v>
      </c>
      <c r="P222" s="1" t="s">
        <v>60</v>
      </c>
      <c r="Q222" s="10">
        <v>0.99</v>
      </c>
    </row>
    <row r="223" spans="1:17" x14ac:dyDescent="0.35">
      <c r="A223" t="str">
        <f t="shared" si="3"/>
        <v>NOI000222</v>
      </c>
      <c r="B223" s="6">
        <v>45849</v>
      </c>
      <c r="C223" s="1" t="s">
        <v>70</v>
      </c>
      <c r="D223" s="1">
        <v>28</v>
      </c>
      <c r="E223" s="8" t="s">
        <v>79</v>
      </c>
      <c r="F223" t="s">
        <v>35</v>
      </c>
      <c r="G223" s="1" t="s">
        <v>38</v>
      </c>
      <c r="H223" t="s">
        <v>63</v>
      </c>
      <c r="I223" s="1" t="s">
        <v>45</v>
      </c>
      <c r="J223" s="1" t="s">
        <v>50</v>
      </c>
      <c r="K223" s="1">
        <v>1</v>
      </c>
      <c r="L223" t="s">
        <v>54</v>
      </c>
      <c r="M223" t="s">
        <v>56</v>
      </c>
      <c r="N223" t="s">
        <v>58</v>
      </c>
      <c r="O223" s="1">
        <v>6</v>
      </c>
      <c r="P223" s="1" t="s">
        <v>61</v>
      </c>
      <c r="Q223" s="10">
        <v>0.99</v>
      </c>
    </row>
    <row r="224" spans="1:17" x14ac:dyDescent="0.35">
      <c r="A224" t="str">
        <f t="shared" si="3"/>
        <v>NOI000223</v>
      </c>
      <c r="B224" s="6">
        <v>45706</v>
      </c>
      <c r="C224" s="1" t="s">
        <v>75</v>
      </c>
      <c r="D224" s="1">
        <v>8</v>
      </c>
      <c r="E224" s="8" t="s">
        <v>77</v>
      </c>
      <c r="F224" t="s">
        <v>24</v>
      </c>
      <c r="G224" s="1" t="s">
        <v>39</v>
      </c>
      <c r="H224" t="s">
        <v>63</v>
      </c>
      <c r="I224" s="1" t="s">
        <v>47</v>
      </c>
      <c r="J224" s="1" t="s">
        <v>51</v>
      </c>
      <c r="K224" s="1">
        <v>1</v>
      </c>
      <c r="L224" t="s">
        <v>54</v>
      </c>
      <c r="M224" t="s">
        <v>56</v>
      </c>
      <c r="N224" t="s">
        <v>58</v>
      </c>
      <c r="O224" s="1">
        <v>7</v>
      </c>
      <c r="P224" s="1" t="s">
        <v>60</v>
      </c>
      <c r="Q224" s="10">
        <v>0.96</v>
      </c>
    </row>
    <row r="225" spans="1:17" x14ac:dyDescent="0.35">
      <c r="A225" t="str">
        <f t="shared" si="3"/>
        <v>NOI000224</v>
      </c>
      <c r="B225" s="6">
        <v>45827</v>
      </c>
      <c r="C225" s="1" t="s">
        <v>64</v>
      </c>
      <c r="D225" s="1">
        <v>25</v>
      </c>
      <c r="E225" s="8" t="s">
        <v>76</v>
      </c>
      <c r="F225" t="s">
        <v>17</v>
      </c>
      <c r="G225" s="1" t="s">
        <v>40</v>
      </c>
      <c r="H225" t="s">
        <v>62</v>
      </c>
      <c r="I225" s="1" t="s">
        <v>49</v>
      </c>
      <c r="J225" s="1" t="s">
        <v>50</v>
      </c>
      <c r="K225" s="1">
        <v>1</v>
      </c>
      <c r="L225" t="s">
        <v>53</v>
      </c>
      <c r="M225" t="s">
        <v>56</v>
      </c>
      <c r="N225" t="s">
        <v>58</v>
      </c>
      <c r="O225" s="1">
        <v>7</v>
      </c>
      <c r="P225" s="1" t="s">
        <v>61</v>
      </c>
      <c r="Q225" s="10">
        <v>0.95</v>
      </c>
    </row>
    <row r="226" spans="1:17" x14ac:dyDescent="0.35">
      <c r="A226" t="str">
        <f t="shared" si="3"/>
        <v>NOI000225</v>
      </c>
      <c r="B226" s="6">
        <v>45659</v>
      </c>
      <c r="C226" s="1" t="s">
        <v>67</v>
      </c>
      <c r="D226" s="1">
        <v>1</v>
      </c>
      <c r="E226" s="8" t="s">
        <v>77</v>
      </c>
      <c r="F226" t="s">
        <v>24</v>
      </c>
      <c r="G226" s="1" t="s">
        <v>37</v>
      </c>
      <c r="H226" t="s">
        <v>63</v>
      </c>
      <c r="I226" s="1" t="s">
        <v>49</v>
      </c>
      <c r="J226" s="1" t="s">
        <v>51</v>
      </c>
      <c r="K226" s="1">
        <v>1</v>
      </c>
      <c r="L226" t="s">
        <v>54</v>
      </c>
      <c r="M226" t="s">
        <v>56</v>
      </c>
      <c r="N226" t="s">
        <v>58</v>
      </c>
      <c r="O226" s="1">
        <v>10</v>
      </c>
      <c r="P226" s="1" t="s">
        <v>60</v>
      </c>
      <c r="Q226" s="10">
        <v>0.94</v>
      </c>
    </row>
    <row r="227" spans="1:17" x14ac:dyDescent="0.35">
      <c r="A227" t="str">
        <f t="shared" si="3"/>
        <v>NOI000226</v>
      </c>
      <c r="B227" s="6">
        <v>45790</v>
      </c>
      <c r="C227" s="1" t="s">
        <v>69</v>
      </c>
      <c r="D227" s="1">
        <v>20</v>
      </c>
      <c r="E227" s="8" t="s">
        <v>76</v>
      </c>
      <c r="F227" t="s">
        <v>22</v>
      </c>
      <c r="G227" s="1" t="s">
        <v>38</v>
      </c>
      <c r="H227" t="s">
        <v>62</v>
      </c>
      <c r="I227" s="1" t="s">
        <v>46</v>
      </c>
      <c r="J227" s="1" t="s">
        <v>50</v>
      </c>
      <c r="K227" s="1">
        <v>1</v>
      </c>
      <c r="L227" t="s">
        <v>54</v>
      </c>
      <c r="M227" t="s">
        <v>56</v>
      </c>
      <c r="N227" t="s">
        <v>58</v>
      </c>
      <c r="O227" s="1">
        <v>8</v>
      </c>
      <c r="P227" s="1" t="s">
        <v>60</v>
      </c>
      <c r="Q227" s="10">
        <v>0.97</v>
      </c>
    </row>
    <row r="228" spans="1:17" x14ac:dyDescent="0.35">
      <c r="A228" t="str">
        <f t="shared" si="3"/>
        <v>NOI000227</v>
      </c>
      <c r="B228" s="6">
        <v>45780</v>
      </c>
      <c r="C228" s="1" t="s">
        <v>69</v>
      </c>
      <c r="D228" s="1">
        <v>18</v>
      </c>
      <c r="E228" s="8" t="s">
        <v>76</v>
      </c>
      <c r="F228" t="s">
        <v>19</v>
      </c>
      <c r="G228" s="1" t="s">
        <v>40</v>
      </c>
      <c r="H228" t="s">
        <v>62</v>
      </c>
      <c r="I228" s="1" t="s">
        <v>48</v>
      </c>
      <c r="J228" s="1" t="s">
        <v>50</v>
      </c>
      <c r="K228" s="1">
        <v>1</v>
      </c>
      <c r="L228" t="s">
        <v>53</v>
      </c>
      <c r="M228" t="s">
        <v>56</v>
      </c>
      <c r="N228" t="s">
        <v>58</v>
      </c>
      <c r="O228" s="1">
        <v>8</v>
      </c>
      <c r="P228" s="1" t="s">
        <v>60</v>
      </c>
      <c r="Q228" s="10">
        <v>0.94</v>
      </c>
    </row>
    <row r="229" spans="1:17" x14ac:dyDescent="0.35">
      <c r="A229" t="str">
        <f t="shared" si="3"/>
        <v>NOI000228</v>
      </c>
      <c r="B229" s="6">
        <v>45933</v>
      </c>
      <c r="C229" s="1" t="s">
        <v>66</v>
      </c>
      <c r="D229" s="1">
        <v>40</v>
      </c>
      <c r="E229" s="8" t="s">
        <v>78</v>
      </c>
      <c r="F229" t="s">
        <v>21</v>
      </c>
      <c r="G229" s="1" t="s">
        <v>38</v>
      </c>
      <c r="H229" t="s">
        <v>62</v>
      </c>
      <c r="I229" s="1" t="s">
        <v>44</v>
      </c>
      <c r="J229" s="1" t="s">
        <v>50</v>
      </c>
      <c r="K229" s="1">
        <v>1</v>
      </c>
      <c r="L229" t="s">
        <v>54</v>
      </c>
      <c r="M229" t="s">
        <v>56</v>
      </c>
      <c r="N229" t="s">
        <v>58</v>
      </c>
      <c r="O229" s="1">
        <v>10</v>
      </c>
      <c r="P229" s="1" t="s">
        <v>60</v>
      </c>
      <c r="Q229" s="10">
        <v>0.98</v>
      </c>
    </row>
    <row r="230" spans="1:17" x14ac:dyDescent="0.35">
      <c r="A230" t="str">
        <f t="shared" si="3"/>
        <v>NOI000229</v>
      </c>
      <c r="B230" s="6">
        <v>45955</v>
      </c>
      <c r="C230" s="1" t="s">
        <v>66</v>
      </c>
      <c r="D230" s="1">
        <v>43</v>
      </c>
      <c r="E230" s="8" t="s">
        <v>78</v>
      </c>
      <c r="F230" t="s">
        <v>23</v>
      </c>
      <c r="G230" s="1" t="s">
        <v>38</v>
      </c>
      <c r="H230" t="s">
        <v>63</v>
      </c>
      <c r="I230" s="1" t="s">
        <v>45</v>
      </c>
      <c r="J230" s="1" t="s">
        <v>51</v>
      </c>
      <c r="K230" s="1">
        <v>1</v>
      </c>
      <c r="L230" t="s">
        <v>53</v>
      </c>
      <c r="M230" t="s">
        <v>56</v>
      </c>
      <c r="N230" t="s">
        <v>58</v>
      </c>
      <c r="O230" s="1">
        <v>7</v>
      </c>
      <c r="P230" s="1" t="s">
        <v>60</v>
      </c>
      <c r="Q230" s="10">
        <v>0.96</v>
      </c>
    </row>
    <row r="231" spans="1:17" x14ac:dyDescent="0.35">
      <c r="A231" t="str">
        <f t="shared" si="3"/>
        <v>NOI000230</v>
      </c>
      <c r="B231" s="6">
        <v>45663</v>
      </c>
      <c r="C231" s="1" t="s">
        <v>67</v>
      </c>
      <c r="D231" s="1">
        <v>2</v>
      </c>
      <c r="E231" s="8" t="s">
        <v>77</v>
      </c>
      <c r="F231" t="s">
        <v>22</v>
      </c>
      <c r="G231" s="1" t="s">
        <v>37</v>
      </c>
      <c r="H231" t="s">
        <v>62</v>
      </c>
      <c r="I231" s="1" t="s">
        <v>48</v>
      </c>
      <c r="J231" s="1" t="s">
        <v>50</v>
      </c>
      <c r="K231" s="1">
        <v>1</v>
      </c>
      <c r="L231" t="s">
        <v>53</v>
      </c>
      <c r="M231" t="s">
        <v>56</v>
      </c>
      <c r="N231" t="s">
        <v>58</v>
      </c>
      <c r="O231" s="1">
        <v>6</v>
      </c>
      <c r="P231" s="1" t="s">
        <v>61</v>
      </c>
      <c r="Q231" s="10">
        <v>0.95</v>
      </c>
    </row>
    <row r="232" spans="1:17" x14ac:dyDescent="0.35">
      <c r="A232" t="str">
        <f t="shared" si="3"/>
        <v>NOI000231</v>
      </c>
      <c r="B232" s="6">
        <v>45672</v>
      </c>
      <c r="C232" s="1" t="s">
        <v>67</v>
      </c>
      <c r="D232" s="1">
        <v>3</v>
      </c>
      <c r="E232" s="8" t="s">
        <v>77</v>
      </c>
      <c r="F232" t="s">
        <v>19</v>
      </c>
      <c r="G232" s="1" t="s">
        <v>38</v>
      </c>
      <c r="H232" t="s">
        <v>62</v>
      </c>
      <c r="I232" s="1" t="s">
        <v>43</v>
      </c>
      <c r="J232" s="1" t="s">
        <v>50</v>
      </c>
      <c r="K232" s="1">
        <v>1</v>
      </c>
      <c r="L232" t="s">
        <v>54</v>
      </c>
      <c r="M232" t="s">
        <v>56</v>
      </c>
      <c r="N232" t="s">
        <v>59</v>
      </c>
      <c r="O232" s="1">
        <v>9</v>
      </c>
      <c r="P232" s="1" t="s">
        <v>60</v>
      </c>
      <c r="Q232" s="10">
        <v>0.94</v>
      </c>
    </row>
    <row r="233" spans="1:17" x14ac:dyDescent="0.35">
      <c r="A233" t="str">
        <f t="shared" si="3"/>
        <v>NOI000232</v>
      </c>
      <c r="B233" s="6">
        <v>45887</v>
      </c>
      <c r="C233" s="1" t="s">
        <v>74</v>
      </c>
      <c r="D233" s="1">
        <v>34</v>
      </c>
      <c r="E233" s="8" t="s">
        <v>79</v>
      </c>
      <c r="F233" t="s">
        <v>23</v>
      </c>
      <c r="G233" s="1" t="s">
        <v>41</v>
      </c>
      <c r="H233" t="s">
        <v>62</v>
      </c>
      <c r="I233" s="1" t="s">
        <v>48</v>
      </c>
      <c r="J233" s="1" t="s">
        <v>51</v>
      </c>
      <c r="K233" s="1">
        <v>1</v>
      </c>
      <c r="L233" t="s">
        <v>53</v>
      </c>
      <c r="M233" t="s">
        <v>56</v>
      </c>
      <c r="N233" t="s">
        <v>58</v>
      </c>
      <c r="O233" s="1">
        <v>9</v>
      </c>
      <c r="P233" s="1" t="s">
        <v>60</v>
      </c>
      <c r="Q233" s="10">
        <v>0.96</v>
      </c>
    </row>
    <row r="234" spans="1:17" x14ac:dyDescent="0.35">
      <c r="A234" t="str">
        <f t="shared" si="3"/>
        <v>NOI000233</v>
      </c>
      <c r="B234" s="6">
        <v>45835</v>
      </c>
      <c r="C234" s="1" t="s">
        <v>64</v>
      </c>
      <c r="D234" s="1">
        <v>26</v>
      </c>
      <c r="E234" s="8" t="s">
        <v>76</v>
      </c>
      <c r="F234" t="s">
        <v>23</v>
      </c>
      <c r="G234" s="1" t="s">
        <v>38</v>
      </c>
      <c r="H234" t="s">
        <v>62</v>
      </c>
      <c r="I234" s="1" t="s">
        <v>45</v>
      </c>
      <c r="J234" s="1" t="s">
        <v>50</v>
      </c>
      <c r="K234" s="1">
        <v>1</v>
      </c>
      <c r="L234" t="s">
        <v>53</v>
      </c>
      <c r="M234" t="s">
        <v>56</v>
      </c>
      <c r="N234" t="s">
        <v>58</v>
      </c>
      <c r="O234" s="1">
        <v>10</v>
      </c>
      <c r="P234" s="1" t="s">
        <v>60</v>
      </c>
      <c r="Q234" s="10">
        <v>0.96</v>
      </c>
    </row>
    <row r="235" spans="1:17" x14ac:dyDescent="0.35">
      <c r="A235" t="str">
        <f t="shared" si="3"/>
        <v>NOI000234</v>
      </c>
      <c r="B235" s="6">
        <v>45963</v>
      </c>
      <c r="C235" s="1" t="s">
        <v>73</v>
      </c>
      <c r="D235" s="1">
        <v>45</v>
      </c>
      <c r="E235" s="8" t="s">
        <v>78</v>
      </c>
      <c r="F235" t="s">
        <v>28</v>
      </c>
      <c r="G235" s="1" t="s">
        <v>40</v>
      </c>
      <c r="H235" t="s">
        <v>62</v>
      </c>
      <c r="I235" s="1" t="s">
        <v>45</v>
      </c>
      <c r="J235" s="1" t="s">
        <v>50</v>
      </c>
      <c r="K235" s="1">
        <v>1</v>
      </c>
      <c r="L235" t="s">
        <v>54</v>
      </c>
      <c r="M235" t="s">
        <v>56</v>
      </c>
      <c r="N235" t="s">
        <v>58</v>
      </c>
      <c r="O235" s="1">
        <v>8</v>
      </c>
      <c r="P235" s="1" t="s">
        <v>60</v>
      </c>
      <c r="Q235" s="10">
        <v>0.97</v>
      </c>
    </row>
    <row r="236" spans="1:17" x14ac:dyDescent="0.35">
      <c r="A236" t="str">
        <f t="shared" si="3"/>
        <v>NOI000235</v>
      </c>
      <c r="B236" s="6">
        <v>45853</v>
      </c>
      <c r="C236" s="1" t="s">
        <v>70</v>
      </c>
      <c r="D236" s="1">
        <v>29</v>
      </c>
      <c r="E236" s="8" t="s">
        <v>79</v>
      </c>
      <c r="F236" t="s">
        <v>35</v>
      </c>
      <c r="G236" s="1" t="s">
        <v>40</v>
      </c>
      <c r="H236" t="s">
        <v>62</v>
      </c>
      <c r="I236" s="1" t="s">
        <v>44</v>
      </c>
      <c r="J236" s="1" t="s">
        <v>50</v>
      </c>
      <c r="K236" s="1">
        <v>1</v>
      </c>
      <c r="L236" t="s">
        <v>53</v>
      </c>
      <c r="M236" t="s">
        <v>56</v>
      </c>
      <c r="N236" t="s">
        <v>58</v>
      </c>
      <c r="O236" s="1">
        <v>7</v>
      </c>
      <c r="P236" s="1" t="s">
        <v>60</v>
      </c>
      <c r="Q236" s="10">
        <v>0.95</v>
      </c>
    </row>
    <row r="237" spans="1:17" x14ac:dyDescent="0.35">
      <c r="A237" t="str">
        <f t="shared" si="3"/>
        <v>NOI000236</v>
      </c>
      <c r="B237" s="6">
        <v>45696</v>
      </c>
      <c r="C237" s="1" t="s">
        <v>75</v>
      </c>
      <c r="D237" s="1">
        <v>6</v>
      </c>
      <c r="E237" s="8" t="s">
        <v>77</v>
      </c>
      <c r="F237" t="s">
        <v>35</v>
      </c>
      <c r="G237" s="1" t="s">
        <v>40</v>
      </c>
      <c r="H237" t="s">
        <v>62</v>
      </c>
      <c r="I237" s="1" t="s">
        <v>42</v>
      </c>
      <c r="J237" s="1" t="s">
        <v>51</v>
      </c>
      <c r="K237" s="1">
        <v>1</v>
      </c>
      <c r="L237" t="s">
        <v>53</v>
      </c>
      <c r="M237" t="s">
        <v>56</v>
      </c>
      <c r="N237" t="s">
        <v>58</v>
      </c>
      <c r="O237" s="1">
        <v>9</v>
      </c>
      <c r="P237" s="1" t="s">
        <v>60</v>
      </c>
      <c r="Q237" s="10">
        <v>0.96</v>
      </c>
    </row>
    <row r="238" spans="1:17" x14ac:dyDescent="0.35">
      <c r="A238" t="str">
        <f t="shared" si="3"/>
        <v>NOI000237</v>
      </c>
      <c r="B238" s="6">
        <v>45809</v>
      </c>
      <c r="C238" s="1" t="s">
        <v>64</v>
      </c>
      <c r="D238" s="1">
        <v>23</v>
      </c>
      <c r="E238" s="8" t="s">
        <v>76</v>
      </c>
      <c r="F238" t="s">
        <v>19</v>
      </c>
      <c r="G238" s="1" t="s">
        <v>38</v>
      </c>
      <c r="H238" t="s">
        <v>62</v>
      </c>
      <c r="I238" s="1" t="s">
        <v>48</v>
      </c>
      <c r="J238" s="1" t="s">
        <v>50</v>
      </c>
      <c r="K238" s="1">
        <v>1</v>
      </c>
      <c r="L238" t="s">
        <v>53</v>
      </c>
      <c r="M238" t="s">
        <v>56</v>
      </c>
      <c r="N238" t="s">
        <v>58</v>
      </c>
      <c r="O238" s="1">
        <v>6</v>
      </c>
      <c r="P238" s="1" t="s">
        <v>60</v>
      </c>
      <c r="Q238" s="10">
        <v>0.94</v>
      </c>
    </row>
    <row r="239" spans="1:17" x14ac:dyDescent="0.35">
      <c r="A239" t="str">
        <f t="shared" si="3"/>
        <v>NOI000238</v>
      </c>
      <c r="B239" s="6">
        <v>45829</v>
      </c>
      <c r="C239" s="1" t="s">
        <v>64</v>
      </c>
      <c r="D239" s="1">
        <v>25</v>
      </c>
      <c r="E239" s="8" t="s">
        <v>76</v>
      </c>
      <c r="F239" t="s">
        <v>30</v>
      </c>
      <c r="G239" s="1" t="s">
        <v>41</v>
      </c>
      <c r="H239" t="s">
        <v>62</v>
      </c>
      <c r="I239" s="1" t="s">
        <v>45</v>
      </c>
      <c r="J239" s="1" t="s">
        <v>50</v>
      </c>
      <c r="K239" s="1">
        <v>1</v>
      </c>
      <c r="L239" t="s">
        <v>54</v>
      </c>
      <c r="M239" t="s">
        <v>56</v>
      </c>
      <c r="N239" t="s">
        <v>58</v>
      </c>
      <c r="O239" s="1">
        <v>10</v>
      </c>
      <c r="P239" s="1" t="s">
        <v>60</v>
      </c>
      <c r="Q239" s="10">
        <v>0.98</v>
      </c>
    </row>
    <row r="240" spans="1:17" x14ac:dyDescent="0.35">
      <c r="A240" t="str">
        <f t="shared" si="3"/>
        <v>NOI000239</v>
      </c>
      <c r="B240" s="6">
        <v>45758</v>
      </c>
      <c r="C240" s="1" t="s">
        <v>68</v>
      </c>
      <c r="D240" s="1">
        <v>15</v>
      </c>
      <c r="E240" s="8" t="s">
        <v>76</v>
      </c>
      <c r="F240" t="s">
        <v>27</v>
      </c>
      <c r="G240" s="1" t="s">
        <v>39</v>
      </c>
      <c r="H240" t="s">
        <v>62</v>
      </c>
      <c r="I240" s="1" t="s">
        <v>49</v>
      </c>
      <c r="J240" s="1" t="s">
        <v>51</v>
      </c>
      <c r="K240" s="1">
        <v>1</v>
      </c>
      <c r="L240" t="s">
        <v>53</v>
      </c>
      <c r="M240" t="s">
        <v>56</v>
      </c>
      <c r="N240" t="s">
        <v>58</v>
      </c>
      <c r="O240" s="1">
        <v>9</v>
      </c>
      <c r="P240" s="1" t="s">
        <v>60</v>
      </c>
      <c r="Q240" s="10">
        <v>0.96</v>
      </c>
    </row>
    <row r="241" spans="1:17" x14ac:dyDescent="0.35">
      <c r="A241" t="str">
        <f t="shared" si="3"/>
        <v>NOI000240</v>
      </c>
      <c r="B241" s="6">
        <v>45784</v>
      </c>
      <c r="C241" s="1" t="s">
        <v>69</v>
      </c>
      <c r="D241" s="1">
        <v>19</v>
      </c>
      <c r="E241" s="8" t="s">
        <v>76</v>
      </c>
      <c r="F241" t="s">
        <v>25</v>
      </c>
      <c r="G241" s="1" t="s">
        <v>41</v>
      </c>
      <c r="H241" t="s">
        <v>62</v>
      </c>
      <c r="I241" s="1" t="s">
        <v>45</v>
      </c>
      <c r="J241" s="1" t="s">
        <v>50</v>
      </c>
      <c r="K241" s="1">
        <v>1</v>
      </c>
      <c r="L241" t="s">
        <v>53</v>
      </c>
      <c r="M241" t="s">
        <v>56</v>
      </c>
      <c r="N241" t="s">
        <v>58</v>
      </c>
      <c r="O241" s="1">
        <v>7</v>
      </c>
      <c r="P241" s="1" t="s">
        <v>61</v>
      </c>
      <c r="Q241" s="10">
        <v>0.99</v>
      </c>
    </row>
    <row r="242" spans="1:17" x14ac:dyDescent="0.35">
      <c r="A242" t="str">
        <f t="shared" si="3"/>
        <v>NOI000241</v>
      </c>
      <c r="B242" s="6">
        <v>45997</v>
      </c>
      <c r="C242" s="1" t="s">
        <v>71</v>
      </c>
      <c r="D242" s="1">
        <v>49</v>
      </c>
      <c r="E242" s="8" t="s">
        <v>78</v>
      </c>
      <c r="F242" t="s">
        <v>29</v>
      </c>
      <c r="G242" s="1" t="s">
        <v>39</v>
      </c>
      <c r="H242" t="s">
        <v>63</v>
      </c>
      <c r="I242" s="1" t="s">
        <v>46</v>
      </c>
      <c r="J242" s="1" t="s">
        <v>51</v>
      </c>
      <c r="K242" s="1">
        <v>1</v>
      </c>
      <c r="L242" t="s">
        <v>53</v>
      </c>
      <c r="M242" t="s">
        <v>57</v>
      </c>
      <c r="N242" t="s">
        <v>58</v>
      </c>
      <c r="O242" s="1">
        <v>10</v>
      </c>
      <c r="P242" s="1" t="s">
        <v>60</v>
      </c>
      <c r="Q242" s="10">
        <v>0.99</v>
      </c>
    </row>
    <row r="243" spans="1:17" x14ac:dyDescent="0.35">
      <c r="A243" t="str">
        <f t="shared" si="3"/>
        <v>NOI000242</v>
      </c>
      <c r="B243" s="6">
        <v>45709</v>
      </c>
      <c r="C243" s="1" t="s">
        <v>75</v>
      </c>
      <c r="D243" s="1">
        <v>8</v>
      </c>
      <c r="E243" s="8" t="s">
        <v>77</v>
      </c>
      <c r="F243" t="s">
        <v>18</v>
      </c>
      <c r="G243" s="1" t="s">
        <v>37</v>
      </c>
      <c r="H243" t="s">
        <v>62</v>
      </c>
      <c r="I243" s="1" t="s">
        <v>45</v>
      </c>
      <c r="J243" s="1" t="s">
        <v>50</v>
      </c>
      <c r="K243" s="1">
        <v>1</v>
      </c>
      <c r="L243" t="s">
        <v>54</v>
      </c>
      <c r="M243" t="s">
        <v>56</v>
      </c>
      <c r="N243" t="s">
        <v>58</v>
      </c>
      <c r="O243" s="1">
        <v>8</v>
      </c>
      <c r="P243" s="1" t="s">
        <v>60</v>
      </c>
      <c r="Q243" s="10">
        <v>0.95</v>
      </c>
    </row>
    <row r="244" spans="1:17" x14ac:dyDescent="0.35">
      <c r="A244" t="str">
        <f t="shared" si="3"/>
        <v>NOI000243</v>
      </c>
      <c r="B244" s="6">
        <v>45864</v>
      </c>
      <c r="C244" s="1" t="s">
        <v>70</v>
      </c>
      <c r="D244" s="1">
        <v>30</v>
      </c>
      <c r="E244" s="8" t="s">
        <v>79</v>
      </c>
      <c r="F244" t="s">
        <v>35</v>
      </c>
      <c r="G244" s="1" t="s">
        <v>38</v>
      </c>
      <c r="H244" t="s">
        <v>63</v>
      </c>
      <c r="I244" s="1" t="s">
        <v>47</v>
      </c>
      <c r="J244" s="1" t="s">
        <v>51</v>
      </c>
      <c r="K244" s="1">
        <v>1</v>
      </c>
      <c r="L244" t="s">
        <v>54</v>
      </c>
      <c r="M244" t="s">
        <v>56</v>
      </c>
      <c r="N244" t="s">
        <v>58</v>
      </c>
      <c r="O244" s="1">
        <v>8</v>
      </c>
      <c r="P244" s="1" t="s">
        <v>60</v>
      </c>
      <c r="Q244" s="10">
        <v>0.94</v>
      </c>
    </row>
    <row r="245" spans="1:17" x14ac:dyDescent="0.35">
      <c r="A245" t="str">
        <f t="shared" si="3"/>
        <v>NOI000244</v>
      </c>
      <c r="B245" s="6">
        <v>45855</v>
      </c>
      <c r="C245" s="1" t="s">
        <v>70</v>
      </c>
      <c r="D245" s="1">
        <v>29</v>
      </c>
      <c r="E245" s="8" t="s">
        <v>79</v>
      </c>
      <c r="F245" t="s">
        <v>18</v>
      </c>
      <c r="G245" s="1" t="s">
        <v>39</v>
      </c>
      <c r="H245" t="s">
        <v>62</v>
      </c>
      <c r="I245" s="1" t="s">
        <v>49</v>
      </c>
      <c r="J245" s="1" t="s">
        <v>51</v>
      </c>
      <c r="K245" s="1">
        <v>1</v>
      </c>
      <c r="L245" t="s">
        <v>53</v>
      </c>
      <c r="M245" t="s">
        <v>56</v>
      </c>
      <c r="N245" t="s">
        <v>58</v>
      </c>
      <c r="O245" s="1">
        <v>8</v>
      </c>
      <c r="P245" s="1" t="s">
        <v>60</v>
      </c>
      <c r="Q245" s="10">
        <v>0.97</v>
      </c>
    </row>
    <row r="246" spans="1:17" x14ac:dyDescent="0.35">
      <c r="A246" t="str">
        <f t="shared" si="3"/>
        <v>NOI000245</v>
      </c>
      <c r="B246" s="6">
        <v>45768</v>
      </c>
      <c r="C246" s="1" t="s">
        <v>68</v>
      </c>
      <c r="D246" s="1">
        <v>17</v>
      </c>
      <c r="E246" s="8" t="s">
        <v>76</v>
      </c>
      <c r="F246" t="s">
        <v>19</v>
      </c>
      <c r="G246" s="1" t="s">
        <v>39</v>
      </c>
      <c r="H246" t="s">
        <v>62</v>
      </c>
      <c r="I246" s="1" t="s">
        <v>44</v>
      </c>
      <c r="J246" s="1" t="s">
        <v>50</v>
      </c>
      <c r="K246" s="1">
        <v>1</v>
      </c>
      <c r="L246" t="s">
        <v>54</v>
      </c>
      <c r="M246" t="s">
        <v>56</v>
      </c>
      <c r="N246" t="s">
        <v>58</v>
      </c>
      <c r="O246" s="1">
        <v>7</v>
      </c>
      <c r="P246" s="1" t="s">
        <v>60</v>
      </c>
      <c r="Q246" s="10">
        <v>0.94</v>
      </c>
    </row>
    <row r="247" spans="1:17" x14ac:dyDescent="0.35">
      <c r="A247" t="str">
        <f t="shared" si="3"/>
        <v>NOI000246</v>
      </c>
      <c r="B247" s="6">
        <v>45709</v>
      </c>
      <c r="C247" s="1" t="s">
        <v>75</v>
      </c>
      <c r="D247" s="1">
        <v>8</v>
      </c>
      <c r="E247" s="8" t="s">
        <v>77</v>
      </c>
      <c r="F247" t="s">
        <v>24</v>
      </c>
      <c r="G247" s="1" t="s">
        <v>41</v>
      </c>
      <c r="H247" t="s">
        <v>62</v>
      </c>
      <c r="I247" s="1" t="s">
        <v>48</v>
      </c>
      <c r="J247" s="1" t="s">
        <v>50</v>
      </c>
      <c r="K247" s="1">
        <v>1</v>
      </c>
      <c r="L247" t="s">
        <v>53</v>
      </c>
      <c r="M247" t="s">
        <v>56</v>
      </c>
      <c r="N247" t="s">
        <v>58</v>
      </c>
      <c r="O247" s="1">
        <v>9</v>
      </c>
      <c r="P247" s="1" t="s">
        <v>60</v>
      </c>
      <c r="Q247" s="10">
        <v>0.95</v>
      </c>
    </row>
    <row r="248" spans="1:17" x14ac:dyDescent="0.35">
      <c r="A248" t="str">
        <f t="shared" si="3"/>
        <v>NOI000247</v>
      </c>
      <c r="B248" s="6">
        <v>45901</v>
      </c>
      <c r="C248" s="1" t="s">
        <v>72</v>
      </c>
      <c r="D248" s="1">
        <v>36</v>
      </c>
      <c r="E248" s="8" t="s">
        <v>79</v>
      </c>
      <c r="F248" t="s">
        <v>31</v>
      </c>
      <c r="G248" s="1" t="s">
        <v>38</v>
      </c>
      <c r="H248" t="s">
        <v>62</v>
      </c>
      <c r="I248" s="1" t="s">
        <v>49</v>
      </c>
      <c r="J248" s="1" t="s">
        <v>51</v>
      </c>
      <c r="K248" s="1">
        <v>1</v>
      </c>
      <c r="L248" t="s">
        <v>53</v>
      </c>
      <c r="M248" t="s">
        <v>56</v>
      </c>
      <c r="N248" t="s">
        <v>58</v>
      </c>
      <c r="O248" s="1">
        <v>6</v>
      </c>
      <c r="P248" s="1" t="s">
        <v>60</v>
      </c>
      <c r="Q248" s="10">
        <v>0.95</v>
      </c>
    </row>
    <row r="249" spans="1:17" x14ac:dyDescent="0.35">
      <c r="A249" t="str">
        <f t="shared" si="3"/>
        <v>NOI000248</v>
      </c>
      <c r="B249" s="6">
        <v>45911</v>
      </c>
      <c r="C249" s="1" t="s">
        <v>72</v>
      </c>
      <c r="D249" s="1">
        <v>37</v>
      </c>
      <c r="E249" s="8" t="s">
        <v>79</v>
      </c>
      <c r="F249" t="s">
        <v>35</v>
      </c>
      <c r="G249" s="1" t="s">
        <v>39</v>
      </c>
      <c r="H249" t="s">
        <v>62</v>
      </c>
      <c r="I249" s="1" t="s">
        <v>43</v>
      </c>
      <c r="J249" s="1" t="s">
        <v>51</v>
      </c>
      <c r="K249" s="1">
        <v>1</v>
      </c>
      <c r="L249" t="s">
        <v>54</v>
      </c>
      <c r="M249" t="s">
        <v>56</v>
      </c>
      <c r="N249" t="s">
        <v>58</v>
      </c>
      <c r="O249" s="1">
        <v>7</v>
      </c>
      <c r="P249" s="1" t="s">
        <v>60</v>
      </c>
      <c r="Q249" s="10">
        <v>0.99</v>
      </c>
    </row>
    <row r="250" spans="1:17" x14ac:dyDescent="0.35">
      <c r="A250" t="str">
        <f t="shared" si="3"/>
        <v>NOI000249</v>
      </c>
      <c r="B250" s="6">
        <v>45984</v>
      </c>
      <c r="C250" s="1" t="s">
        <v>73</v>
      </c>
      <c r="D250" s="1">
        <v>48</v>
      </c>
      <c r="E250" s="8" t="s">
        <v>78</v>
      </c>
      <c r="F250" t="s">
        <v>19</v>
      </c>
      <c r="G250" s="1" t="s">
        <v>38</v>
      </c>
      <c r="H250" t="s">
        <v>62</v>
      </c>
      <c r="I250" s="1" t="s">
        <v>43</v>
      </c>
      <c r="J250" s="1" t="s">
        <v>51</v>
      </c>
      <c r="K250" s="1">
        <v>1</v>
      </c>
      <c r="L250" t="s">
        <v>53</v>
      </c>
      <c r="M250" t="s">
        <v>56</v>
      </c>
      <c r="N250" t="s">
        <v>58</v>
      </c>
      <c r="O250" s="1">
        <v>10</v>
      </c>
      <c r="P250" s="1" t="s">
        <v>61</v>
      </c>
      <c r="Q250" s="10">
        <v>0.96</v>
      </c>
    </row>
    <row r="251" spans="1:17" x14ac:dyDescent="0.35">
      <c r="A251" t="str">
        <f t="shared" si="3"/>
        <v>NOI000250</v>
      </c>
      <c r="B251" s="6">
        <v>45755</v>
      </c>
      <c r="C251" s="1" t="s">
        <v>68</v>
      </c>
      <c r="D251" s="1">
        <v>15</v>
      </c>
      <c r="E251" s="8" t="s">
        <v>76</v>
      </c>
      <c r="F251" t="s">
        <v>22</v>
      </c>
      <c r="G251" s="1" t="s">
        <v>38</v>
      </c>
      <c r="H251" t="s">
        <v>62</v>
      </c>
      <c r="I251" s="1" t="s">
        <v>43</v>
      </c>
      <c r="J251" s="1" t="s">
        <v>51</v>
      </c>
      <c r="K251" s="1">
        <v>1</v>
      </c>
      <c r="L251" t="s">
        <v>54</v>
      </c>
      <c r="M251" t="s">
        <v>56</v>
      </c>
      <c r="N251" t="s">
        <v>58</v>
      </c>
      <c r="O251" s="1">
        <v>7</v>
      </c>
      <c r="P251" s="1" t="s">
        <v>60</v>
      </c>
      <c r="Q251" s="10">
        <v>0.95</v>
      </c>
    </row>
    <row r="252" spans="1:17" x14ac:dyDescent="0.35">
      <c r="A252" t="str">
        <f t="shared" si="3"/>
        <v>NOI000251</v>
      </c>
      <c r="B252" s="6">
        <v>45816</v>
      </c>
      <c r="C252" s="1" t="s">
        <v>64</v>
      </c>
      <c r="D252" s="1">
        <v>24</v>
      </c>
      <c r="E252" s="8" t="s">
        <v>76</v>
      </c>
      <c r="F252" t="s">
        <v>20</v>
      </c>
      <c r="G252" s="1" t="s">
        <v>37</v>
      </c>
      <c r="H252" t="s">
        <v>63</v>
      </c>
      <c r="I252" s="1" t="s">
        <v>42</v>
      </c>
      <c r="J252" s="1" t="s">
        <v>50</v>
      </c>
      <c r="K252" s="1">
        <v>1</v>
      </c>
      <c r="L252" t="s">
        <v>53</v>
      </c>
      <c r="M252" t="s">
        <v>56</v>
      </c>
      <c r="N252" t="s">
        <v>58</v>
      </c>
      <c r="O252" s="1">
        <v>8</v>
      </c>
      <c r="P252" s="1" t="s">
        <v>60</v>
      </c>
      <c r="Q252" s="10">
        <v>0.98</v>
      </c>
    </row>
    <row r="253" spans="1:17" x14ac:dyDescent="0.35">
      <c r="A253" t="str">
        <f t="shared" si="3"/>
        <v>NOI000252</v>
      </c>
      <c r="B253" s="6">
        <v>45761</v>
      </c>
      <c r="C253" s="1" t="s">
        <v>68</v>
      </c>
      <c r="D253" s="1">
        <v>16</v>
      </c>
      <c r="E253" s="8" t="s">
        <v>76</v>
      </c>
      <c r="F253" t="s">
        <v>33</v>
      </c>
      <c r="G253" s="1" t="s">
        <v>38</v>
      </c>
      <c r="H253" t="s">
        <v>62</v>
      </c>
      <c r="I253" s="1" t="s">
        <v>46</v>
      </c>
      <c r="J253" s="1" t="s">
        <v>50</v>
      </c>
      <c r="K253" s="1">
        <v>1</v>
      </c>
      <c r="L253" t="s">
        <v>54</v>
      </c>
      <c r="M253" t="s">
        <v>56</v>
      </c>
      <c r="N253" t="s">
        <v>58</v>
      </c>
      <c r="O253" s="1">
        <v>10</v>
      </c>
      <c r="P253" s="1" t="s">
        <v>60</v>
      </c>
      <c r="Q253" s="10">
        <v>0.98</v>
      </c>
    </row>
    <row r="254" spans="1:17" x14ac:dyDescent="0.35">
      <c r="A254" t="str">
        <f t="shared" si="3"/>
        <v>NOI000253</v>
      </c>
      <c r="B254" s="6">
        <v>45727</v>
      </c>
      <c r="C254" s="1" t="s">
        <v>65</v>
      </c>
      <c r="D254" s="1">
        <v>11</v>
      </c>
      <c r="E254" s="8" t="s">
        <v>77</v>
      </c>
      <c r="F254" t="s">
        <v>28</v>
      </c>
      <c r="G254" s="1" t="s">
        <v>40</v>
      </c>
      <c r="H254" t="s">
        <v>63</v>
      </c>
      <c r="I254" s="1" t="s">
        <v>48</v>
      </c>
      <c r="J254" s="1" t="s">
        <v>51</v>
      </c>
      <c r="K254" s="1">
        <v>1</v>
      </c>
      <c r="L254" t="s">
        <v>54</v>
      </c>
      <c r="M254" t="s">
        <v>56</v>
      </c>
      <c r="N254" t="s">
        <v>58</v>
      </c>
      <c r="O254" s="1">
        <v>10</v>
      </c>
      <c r="P254" s="1" t="s">
        <v>60</v>
      </c>
      <c r="Q254" s="10">
        <v>0.94</v>
      </c>
    </row>
    <row r="255" spans="1:17" x14ac:dyDescent="0.35">
      <c r="A255" t="str">
        <f t="shared" si="3"/>
        <v>NOI000254</v>
      </c>
      <c r="B255" s="6">
        <v>45701</v>
      </c>
      <c r="C255" s="1" t="s">
        <v>75</v>
      </c>
      <c r="D255" s="1">
        <v>7</v>
      </c>
      <c r="E255" s="8" t="s">
        <v>77</v>
      </c>
      <c r="F255" t="s">
        <v>31</v>
      </c>
      <c r="G255" s="1" t="s">
        <v>38</v>
      </c>
      <c r="H255" t="s">
        <v>62</v>
      </c>
      <c r="I255" s="1" t="s">
        <v>48</v>
      </c>
      <c r="J255" s="1" t="s">
        <v>50</v>
      </c>
      <c r="K255" s="1">
        <v>1</v>
      </c>
      <c r="L255" t="s">
        <v>53</v>
      </c>
      <c r="M255" t="s">
        <v>56</v>
      </c>
      <c r="N255" t="s">
        <v>58</v>
      </c>
      <c r="O255" s="1">
        <v>9</v>
      </c>
      <c r="P255" s="1" t="s">
        <v>60</v>
      </c>
      <c r="Q255" s="10">
        <v>0.98</v>
      </c>
    </row>
    <row r="256" spans="1:17" x14ac:dyDescent="0.35">
      <c r="A256" t="str">
        <f t="shared" si="3"/>
        <v>NOI000255</v>
      </c>
      <c r="B256" s="6">
        <v>45723</v>
      </c>
      <c r="C256" s="1" t="s">
        <v>65</v>
      </c>
      <c r="D256" s="1">
        <v>10</v>
      </c>
      <c r="E256" s="8" t="s">
        <v>77</v>
      </c>
      <c r="F256" t="s">
        <v>24</v>
      </c>
      <c r="G256" s="1" t="s">
        <v>38</v>
      </c>
      <c r="H256" t="s">
        <v>63</v>
      </c>
      <c r="I256" s="1" t="s">
        <v>44</v>
      </c>
      <c r="J256" s="1" t="s">
        <v>51</v>
      </c>
      <c r="K256" s="1">
        <v>1</v>
      </c>
      <c r="L256" t="s">
        <v>53</v>
      </c>
      <c r="M256" t="s">
        <v>57</v>
      </c>
      <c r="N256" t="s">
        <v>58</v>
      </c>
      <c r="O256" s="1">
        <v>8</v>
      </c>
      <c r="P256" s="1" t="s">
        <v>60</v>
      </c>
      <c r="Q256" s="10">
        <v>0.98</v>
      </c>
    </row>
    <row r="257" spans="1:17" x14ac:dyDescent="0.35">
      <c r="A257" t="str">
        <f t="shared" si="3"/>
        <v>NOI000256</v>
      </c>
      <c r="B257" s="6">
        <v>45665</v>
      </c>
      <c r="C257" s="1" t="s">
        <v>67</v>
      </c>
      <c r="D257" s="1">
        <v>2</v>
      </c>
      <c r="E257" s="8" t="s">
        <v>77</v>
      </c>
      <c r="F257" t="s">
        <v>31</v>
      </c>
      <c r="G257" s="1" t="s">
        <v>40</v>
      </c>
      <c r="H257" t="s">
        <v>63</v>
      </c>
      <c r="I257" s="1" t="s">
        <v>46</v>
      </c>
      <c r="J257" s="1" t="s">
        <v>51</v>
      </c>
      <c r="K257" s="1">
        <v>1</v>
      </c>
      <c r="L257" t="s">
        <v>53</v>
      </c>
      <c r="M257" t="s">
        <v>56</v>
      </c>
      <c r="N257" t="s">
        <v>58</v>
      </c>
      <c r="O257" s="1">
        <v>10</v>
      </c>
      <c r="P257" s="1" t="s">
        <v>60</v>
      </c>
      <c r="Q257" s="10">
        <v>0.99</v>
      </c>
    </row>
    <row r="258" spans="1:17" x14ac:dyDescent="0.35">
      <c r="A258" t="str">
        <f t="shared" ref="A258:A321" si="4">"NOI"&amp;TEXT(ROW()-1,"000000")</f>
        <v>NOI000257</v>
      </c>
      <c r="B258" s="6">
        <v>45761</v>
      </c>
      <c r="C258" s="1" t="s">
        <v>68</v>
      </c>
      <c r="D258" s="1">
        <v>16</v>
      </c>
      <c r="E258" s="8" t="s">
        <v>76</v>
      </c>
      <c r="F258" t="s">
        <v>26</v>
      </c>
      <c r="G258" s="1" t="s">
        <v>40</v>
      </c>
      <c r="H258" t="s">
        <v>63</v>
      </c>
      <c r="I258" s="1" t="s">
        <v>48</v>
      </c>
      <c r="J258" s="1" t="s">
        <v>51</v>
      </c>
      <c r="K258" s="1">
        <v>1</v>
      </c>
      <c r="L258" t="s">
        <v>54</v>
      </c>
      <c r="M258" t="s">
        <v>57</v>
      </c>
      <c r="N258" t="s">
        <v>58</v>
      </c>
      <c r="O258" s="1">
        <v>6</v>
      </c>
      <c r="P258" s="1" t="s">
        <v>60</v>
      </c>
      <c r="Q258" s="10">
        <v>0.98</v>
      </c>
    </row>
    <row r="259" spans="1:17" x14ac:dyDescent="0.35">
      <c r="A259" t="str">
        <f t="shared" si="4"/>
        <v>NOI000258</v>
      </c>
      <c r="B259" s="6">
        <v>45810</v>
      </c>
      <c r="C259" s="1" t="s">
        <v>64</v>
      </c>
      <c r="D259" s="1">
        <v>23</v>
      </c>
      <c r="E259" s="8" t="s">
        <v>76</v>
      </c>
      <c r="F259" t="s">
        <v>20</v>
      </c>
      <c r="G259" s="1" t="s">
        <v>37</v>
      </c>
      <c r="H259" t="s">
        <v>62</v>
      </c>
      <c r="I259" s="1" t="s">
        <v>47</v>
      </c>
      <c r="J259" s="1" t="s">
        <v>50</v>
      </c>
      <c r="K259" s="1">
        <v>1</v>
      </c>
      <c r="L259" t="s">
        <v>54</v>
      </c>
      <c r="M259" t="s">
        <v>56</v>
      </c>
      <c r="N259" t="s">
        <v>58</v>
      </c>
      <c r="O259" s="1">
        <v>6</v>
      </c>
      <c r="P259" s="1" t="s">
        <v>60</v>
      </c>
      <c r="Q259" s="10">
        <v>0.95</v>
      </c>
    </row>
    <row r="260" spans="1:17" x14ac:dyDescent="0.35">
      <c r="A260" t="str">
        <f t="shared" si="4"/>
        <v>NOI000259</v>
      </c>
      <c r="B260" s="6">
        <v>45793</v>
      </c>
      <c r="C260" s="1" t="s">
        <v>69</v>
      </c>
      <c r="D260" s="1">
        <v>20</v>
      </c>
      <c r="E260" s="8" t="s">
        <v>76</v>
      </c>
      <c r="F260" t="s">
        <v>36</v>
      </c>
      <c r="G260" s="1" t="s">
        <v>39</v>
      </c>
      <c r="H260" t="s">
        <v>62</v>
      </c>
      <c r="I260" s="1" t="s">
        <v>43</v>
      </c>
      <c r="J260" s="1" t="s">
        <v>51</v>
      </c>
      <c r="K260" s="1">
        <v>1</v>
      </c>
      <c r="L260" t="s">
        <v>53</v>
      </c>
      <c r="M260" t="s">
        <v>56</v>
      </c>
      <c r="N260" t="s">
        <v>58</v>
      </c>
      <c r="O260" s="1">
        <v>9</v>
      </c>
      <c r="P260" s="1" t="s">
        <v>60</v>
      </c>
      <c r="Q260" s="10">
        <v>0.98</v>
      </c>
    </row>
    <row r="261" spans="1:17" x14ac:dyDescent="0.35">
      <c r="A261" t="str">
        <f t="shared" si="4"/>
        <v>NOI000260</v>
      </c>
      <c r="B261" s="6">
        <v>45737</v>
      </c>
      <c r="C261" s="1" t="s">
        <v>65</v>
      </c>
      <c r="D261" s="1">
        <v>12</v>
      </c>
      <c r="E261" s="8" t="s">
        <v>77</v>
      </c>
      <c r="F261" t="s">
        <v>34</v>
      </c>
      <c r="G261" s="1" t="s">
        <v>37</v>
      </c>
      <c r="H261" t="s">
        <v>62</v>
      </c>
      <c r="I261" s="1" t="s">
        <v>48</v>
      </c>
      <c r="J261" s="1" t="s">
        <v>51</v>
      </c>
      <c r="K261" s="1">
        <v>1</v>
      </c>
      <c r="L261" t="s">
        <v>54</v>
      </c>
      <c r="M261" t="s">
        <v>56</v>
      </c>
      <c r="N261" t="s">
        <v>58</v>
      </c>
      <c r="O261" s="1">
        <v>8</v>
      </c>
      <c r="P261" s="1" t="s">
        <v>60</v>
      </c>
      <c r="Q261" s="10">
        <v>0.95</v>
      </c>
    </row>
    <row r="262" spans="1:17" x14ac:dyDescent="0.35">
      <c r="A262" t="str">
        <f t="shared" si="4"/>
        <v>NOI000261</v>
      </c>
      <c r="B262" s="6">
        <v>45825</v>
      </c>
      <c r="C262" s="1" t="s">
        <v>64</v>
      </c>
      <c r="D262" s="1">
        <v>25</v>
      </c>
      <c r="E262" s="8" t="s">
        <v>76</v>
      </c>
      <c r="F262" t="s">
        <v>20</v>
      </c>
      <c r="G262" s="1" t="s">
        <v>40</v>
      </c>
      <c r="H262" t="s">
        <v>62</v>
      </c>
      <c r="I262" s="1" t="s">
        <v>45</v>
      </c>
      <c r="J262" s="1" t="s">
        <v>50</v>
      </c>
      <c r="K262" s="1">
        <v>1</v>
      </c>
      <c r="L262" t="s">
        <v>53</v>
      </c>
      <c r="M262" t="s">
        <v>56</v>
      </c>
      <c r="N262" t="s">
        <v>58</v>
      </c>
      <c r="O262" s="1">
        <v>10</v>
      </c>
      <c r="P262" s="1" t="s">
        <v>61</v>
      </c>
      <c r="Q262" s="10">
        <v>0.99</v>
      </c>
    </row>
    <row r="263" spans="1:17" x14ac:dyDescent="0.35">
      <c r="A263" t="str">
        <f t="shared" si="4"/>
        <v>NOI000262</v>
      </c>
      <c r="B263" s="6">
        <v>45771</v>
      </c>
      <c r="C263" s="1" t="s">
        <v>68</v>
      </c>
      <c r="D263" s="1">
        <v>17</v>
      </c>
      <c r="E263" s="8" t="s">
        <v>76</v>
      </c>
      <c r="F263" t="s">
        <v>22</v>
      </c>
      <c r="G263" s="1" t="s">
        <v>38</v>
      </c>
      <c r="H263" t="s">
        <v>62</v>
      </c>
      <c r="I263" s="1" t="s">
        <v>49</v>
      </c>
      <c r="J263" s="1" t="s">
        <v>50</v>
      </c>
      <c r="K263" s="1">
        <v>1</v>
      </c>
      <c r="L263" t="s">
        <v>54</v>
      </c>
      <c r="M263" t="s">
        <v>57</v>
      </c>
      <c r="N263" t="s">
        <v>58</v>
      </c>
      <c r="O263" s="1">
        <v>6</v>
      </c>
      <c r="P263" s="1" t="s">
        <v>60</v>
      </c>
      <c r="Q263" s="10">
        <v>0.99</v>
      </c>
    </row>
    <row r="264" spans="1:17" x14ac:dyDescent="0.35">
      <c r="A264" t="str">
        <f t="shared" si="4"/>
        <v>NOI000263</v>
      </c>
      <c r="B264" s="6">
        <v>45756</v>
      </c>
      <c r="C264" s="1" t="s">
        <v>68</v>
      </c>
      <c r="D264" s="1">
        <v>15</v>
      </c>
      <c r="E264" s="8" t="s">
        <v>76</v>
      </c>
      <c r="F264" t="s">
        <v>24</v>
      </c>
      <c r="G264" s="1" t="s">
        <v>38</v>
      </c>
      <c r="H264" t="s">
        <v>62</v>
      </c>
      <c r="I264" s="1" t="s">
        <v>46</v>
      </c>
      <c r="J264" s="1" t="s">
        <v>51</v>
      </c>
      <c r="K264" s="1">
        <v>1</v>
      </c>
      <c r="L264" t="s">
        <v>53</v>
      </c>
      <c r="M264" t="s">
        <v>56</v>
      </c>
      <c r="N264" t="s">
        <v>58</v>
      </c>
      <c r="O264" s="1">
        <v>10</v>
      </c>
      <c r="P264" s="1" t="s">
        <v>60</v>
      </c>
      <c r="Q264" s="10">
        <v>0.95</v>
      </c>
    </row>
    <row r="265" spans="1:17" x14ac:dyDescent="0.35">
      <c r="A265" t="str">
        <f t="shared" si="4"/>
        <v>NOI000264</v>
      </c>
      <c r="B265" s="6">
        <v>45906</v>
      </c>
      <c r="C265" s="1" t="s">
        <v>72</v>
      </c>
      <c r="D265" s="1">
        <v>36</v>
      </c>
      <c r="E265" s="8" t="s">
        <v>79</v>
      </c>
      <c r="F265" t="s">
        <v>19</v>
      </c>
      <c r="G265" s="1" t="s">
        <v>38</v>
      </c>
      <c r="H265" t="s">
        <v>63</v>
      </c>
      <c r="I265" s="1" t="s">
        <v>47</v>
      </c>
      <c r="J265" s="1" t="s">
        <v>50</v>
      </c>
      <c r="K265" s="1">
        <v>1</v>
      </c>
      <c r="L265" t="s">
        <v>54</v>
      </c>
      <c r="M265" t="s">
        <v>56</v>
      </c>
      <c r="N265" t="s">
        <v>58</v>
      </c>
      <c r="O265" s="1">
        <v>7</v>
      </c>
      <c r="P265" s="1" t="s">
        <v>60</v>
      </c>
      <c r="Q265" s="10">
        <v>0.97</v>
      </c>
    </row>
    <row r="266" spans="1:17" x14ac:dyDescent="0.35">
      <c r="A266" t="str">
        <f t="shared" si="4"/>
        <v>NOI000265</v>
      </c>
      <c r="B266" s="6">
        <v>45801</v>
      </c>
      <c r="C266" s="1" t="s">
        <v>69</v>
      </c>
      <c r="D266" s="1">
        <v>21</v>
      </c>
      <c r="E266" s="8" t="s">
        <v>76</v>
      </c>
      <c r="F266" t="s">
        <v>34</v>
      </c>
      <c r="G266" s="1" t="s">
        <v>37</v>
      </c>
      <c r="H266" t="s">
        <v>62</v>
      </c>
      <c r="I266" s="1" t="s">
        <v>46</v>
      </c>
      <c r="J266" s="1" t="s">
        <v>50</v>
      </c>
      <c r="K266" s="1">
        <v>1</v>
      </c>
      <c r="L266" t="s">
        <v>54</v>
      </c>
      <c r="M266" t="s">
        <v>56</v>
      </c>
      <c r="N266" t="s">
        <v>58</v>
      </c>
      <c r="O266" s="1">
        <v>6</v>
      </c>
      <c r="P266" s="1" t="s">
        <v>61</v>
      </c>
      <c r="Q266" s="10">
        <v>0.95</v>
      </c>
    </row>
    <row r="267" spans="1:17" x14ac:dyDescent="0.35">
      <c r="A267" t="str">
        <f t="shared" si="4"/>
        <v>NOI000266</v>
      </c>
      <c r="B267" s="6">
        <v>45885</v>
      </c>
      <c r="C267" s="1" t="s">
        <v>74</v>
      </c>
      <c r="D267" s="1">
        <v>33</v>
      </c>
      <c r="E267" s="8" t="s">
        <v>79</v>
      </c>
      <c r="F267" t="s">
        <v>24</v>
      </c>
      <c r="G267" s="1" t="s">
        <v>40</v>
      </c>
      <c r="H267" t="s">
        <v>63</v>
      </c>
      <c r="I267" s="1" t="s">
        <v>49</v>
      </c>
      <c r="J267" s="1" t="s">
        <v>51</v>
      </c>
      <c r="K267" s="1">
        <v>1</v>
      </c>
      <c r="L267" t="s">
        <v>54</v>
      </c>
      <c r="M267" t="s">
        <v>56</v>
      </c>
      <c r="N267" t="s">
        <v>58</v>
      </c>
      <c r="O267" s="1">
        <v>6</v>
      </c>
      <c r="P267" s="1" t="s">
        <v>61</v>
      </c>
      <c r="Q267" s="10">
        <v>0.96</v>
      </c>
    </row>
    <row r="268" spans="1:17" x14ac:dyDescent="0.35">
      <c r="A268" t="str">
        <f t="shared" si="4"/>
        <v>NOI000267</v>
      </c>
      <c r="B268" s="6">
        <v>45863</v>
      </c>
      <c r="C268" s="1" t="s">
        <v>70</v>
      </c>
      <c r="D268" s="1">
        <v>30</v>
      </c>
      <c r="E268" s="8" t="s">
        <v>79</v>
      </c>
      <c r="F268" t="s">
        <v>26</v>
      </c>
      <c r="G268" s="1" t="s">
        <v>40</v>
      </c>
      <c r="H268" t="s">
        <v>63</v>
      </c>
      <c r="I268" s="1" t="s">
        <v>42</v>
      </c>
      <c r="J268" s="1" t="s">
        <v>50</v>
      </c>
      <c r="K268" s="1">
        <v>1</v>
      </c>
      <c r="L268" t="s">
        <v>54</v>
      </c>
      <c r="M268" t="s">
        <v>56</v>
      </c>
      <c r="N268" t="s">
        <v>59</v>
      </c>
      <c r="O268" s="1">
        <v>6</v>
      </c>
      <c r="P268" s="1" t="s">
        <v>60</v>
      </c>
      <c r="Q268" s="10">
        <v>0.99</v>
      </c>
    </row>
    <row r="269" spans="1:17" x14ac:dyDescent="0.35">
      <c r="A269" t="str">
        <f t="shared" si="4"/>
        <v>NOI000268</v>
      </c>
      <c r="B269" s="6">
        <v>45728</v>
      </c>
      <c r="C269" s="1" t="s">
        <v>65</v>
      </c>
      <c r="D269" s="1">
        <v>11</v>
      </c>
      <c r="E269" s="8" t="s">
        <v>77</v>
      </c>
      <c r="F269" t="s">
        <v>19</v>
      </c>
      <c r="G269" s="1" t="s">
        <v>39</v>
      </c>
      <c r="H269" t="s">
        <v>62</v>
      </c>
      <c r="I269" s="1" t="s">
        <v>44</v>
      </c>
      <c r="J269" s="1" t="s">
        <v>50</v>
      </c>
      <c r="K269" s="1">
        <v>1</v>
      </c>
      <c r="L269" t="s">
        <v>53</v>
      </c>
      <c r="M269" t="s">
        <v>56</v>
      </c>
      <c r="N269" t="s">
        <v>58</v>
      </c>
      <c r="O269" s="1">
        <v>10</v>
      </c>
      <c r="P269" s="1" t="s">
        <v>60</v>
      </c>
      <c r="Q269" s="10">
        <v>0.97</v>
      </c>
    </row>
    <row r="270" spans="1:17" x14ac:dyDescent="0.35">
      <c r="A270" t="str">
        <f t="shared" si="4"/>
        <v>NOI000269</v>
      </c>
      <c r="B270" s="6">
        <v>45739</v>
      </c>
      <c r="C270" s="1" t="s">
        <v>65</v>
      </c>
      <c r="D270" s="1">
        <v>13</v>
      </c>
      <c r="E270" s="8" t="s">
        <v>77</v>
      </c>
      <c r="F270" t="s">
        <v>29</v>
      </c>
      <c r="G270" s="1" t="s">
        <v>40</v>
      </c>
      <c r="H270" t="s">
        <v>62</v>
      </c>
      <c r="I270" s="1" t="s">
        <v>48</v>
      </c>
      <c r="J270" s="1" t="s">
        <v>50</v>
      </c>
      <c r="K270" s="1">
        <v>1</v>
      </c>
      <c r="L270" t="s">
        <v>53</v>
      </c>
      <c r="M270" t="s">
        <v>56</v>
      </c>
      <c r="N270" t="s">
        <v>58</v>
      </c>
      <c r="O270" s="1">
        <v>10</v>
      </c>
      <c r="P270" s="1" t="s">
        <v>60</v>
      </c>
      <c r="Q270" s="10">
        <v>0.98</v>
      </c>
    </row>
    <row r="271" spans="1:17" x14ac:dyDescent="0.35">
      <c r="A271" t="str">
        <f t="shared" si="4"/>
        <v>NOI000270</v>
      </c>
      <c r="B271" s="6">
        <v>45870</v>
      </c>
      <c r="C271" s="1" t="s">
        <v>74</v>
      </c>
      <c r="D271" s="1">
        <v>31</v>
      </c>
      <c r="E271" s="8" t="s">
        <v>79</v>
      </c>
      <c r="F271" t="s">
        <v>20</v>
      </c>
      <c r="G271" s="1" t="s">
        <v>37</v>
      </c>
      <c r="H271" t="s">
        <v>62</v>
      </c>
      <c r="I271" s="1" t="s">
        <v>45</v>
      </c>
      <c r="J271" s="1" t="s">
        <v>50</v>
      </c>
      <c r="K271" s="1">
        <v>1</v>
      </c>
      <c r="L271" t="s">
        <v>53</v>
      </c>
      <c r="M271" t="s">
        <v>56</v>
      </c>
      <c r="N271" t="s">
        <v>58</v>
      </c>
      <c r="O271" s="1">
        <v>7</v>
      </c>
      <c r="P271" s="1" t="s">
        <v>60</v>
      </c>
      <c r="Q271" s="10">
        <v>0.94</v>
      </c>
    </row>
    <row r="272" spans="1:17" x14ac:dyDescent="0.35">
      <c r="A272" t="str">
        <f t="shared" si="4"/>
        <v>NOI000271</v>
      </c>
      <c r="B272" s="6">
        <v>45667</v>
      </c>
      <c r="C272" s="1" t="s">
        <v>67</v>
      </c>
      <c r="D272" s="1">
        <v>2</v>
      </c>
      <c r="E272" s="8" t="s">
        <v>77</v>
      </c>
      <c r="F272" t="s">
        <v>24</v>
      </c>
      <c r="G272" s="1" t="s">
        <v>38</v>
      </c>
      <c r="H272" t="s">
        <v>62</v>
      </c>
      <c r="I272" s="1" t="s">
        <v>46</v>
      </c>
      <c r="J272" s="1" t="s">
        <v>51</v>
      </c>
      <c r="K272" s="1">
        <v>1</v>
      </c>
      <c r="L272" t="s">
        <v>54</v>
      </c>
      <c r="M272" t="s">
        <v>56</v>
      </c>
      <c r="N272" t="s">
        <v>58</v>
      </c>
      <c r="O272" s="1">
        <v>8</v>
      </c>
      <c r="P272" s="1" t="s">
        <v>60</v>
      </c>
      <c r="Q272" s="10">
        <v>0.97</v>
      </c>
    </row>
    <row r="273" spans="1:17" x14ac:dyDescent="0.35">
      <c r="A273" t="str">
        <f t="shared" si="4"/>
        <v>NOI000272</v>
      </c>
      <c r="B273" s="6">
        <v>45676</v>
      </c>
      <c r="C273" s="1" t="s">
        <v>67</v>
      </c>
      <c r="D273" s="1">
        <v>4</v>
      </c>
      <c r="E273" s="8" t="s">
        <v>77</v>
      </c>
      <c r="F273" t="s">
        <v>34</v>
      </c>
      <c r="G273" s="1" t="s">
        <v>39</v>
      </c>
      <c r="H273" t="s">
        <v>62</v>
      </c>
      <c r="I273" s="1" t="s">
        <v>49</v>
      </c>
      <c r="J273" s="1" t="s">
        <v>50</v>
      </c>
      <c r="K273" s="1">
        <v>1</v>
      </c>
      <c r="L273" t="s">
        <v>53</v>
      </c>
      <c r="M273" t="s">
        <v>56</v>
      </c>
      <c r="N273" t="s">
        <v>58</v>
      </c>
      <c r="O273" s="1">
        <v>10</v>
      </c>
      <c r="P273" s="1" t="s">
        <v>60</v>
      </c>
      <c r="Q273" s="10">
        <v>0.96</v>
      </c>
    </row>
    <row r="274" spans="1:17" x14ac:dyDescent="0.35">
      <c r="A274" t="str">
        <f t="shared" si="4"/>
        <v>NOI000273</v>
      </c>
      <c r="B274" s="6">
        <v>45945</v>
      </c>
      <c r="C274" s="1" t="s">
        <v>66</v>
      </c>
      <c r="D274" s="1">
        <v>42</v>
      </c>
      <c r="E274" s="8" t="s">
        <v>78</v>
      </c>
      <c r="F274" t="s">
        <v>21</v>
      </c>
      <c r="G274" s="1" t="s">
        <v>37</v>
      </c>
      <c r="H274" t="s">
        <v>62</v>
      </c>
      <c r="I274" s="1" t="s">
        <v>45</v>
      </c>
      <c r="J274" s="1" t="s">
        <v>51</v>
      </c>
      <c r="K274" s="1">
        <v>1</v>
      </c>
      <c r="L274" t="s">
        <v>54</v>
      </c>
      <c r="M274" t="s">
        <v>56</v>
      </c>
      <c r="N274" t="s">
        <v>58</v>
      </c>
      <c r="O274" s="1">
        <v>9</v>
      </c>
      <c r="P274" s="1" t="s">
        <v>61</v>
      </c>
      <c r="Q274" s="10">
        <v>0.98</v>
      </c>
    </row>
    <row r="275" spans="1:17" x14ac:dyDescent="0.35">
      <c r="A275" t="str">
        <f t="shared" si="4"/>
        <v>NOI000274</v>
      </c>
      <c r="B275" s="6">
        <v>45763</v>
      </c>
      <c r="C275" s="1" t="s">
        <v>68</v>
      </c>
      <c r="D275" s="1">
        <v>16</v>
      </c>
      <c r="E275" s="8" t="s">
        <v>76</v>
      </c>
      <c r="F275" t="s">
        <v>23</v>
      </c>
      <c r="G275" s="1" t="s">
        <v>38</v>
      </c>
      <c r="H275" t="s">
        <v>63</v>
      </c>
      <c r="I275" s="1" t="s">
        <v>45</v>
      </c>
      <c r="J275" s="1" t="s">
        <v>51</v>
      </c>
      <c r="K275" s="1">
        <v>1</v>
      </c>
      <c r="L275" t="s">
        <v>54</v>
      </c>
      <c r="M275" t="s">
        <v>56</v>
      </c>
      <c r="N275" t="s">
        <v>58</v>
      </c>
      <c r="O275" s="1">
        <v>9</v>
      </c>
      <c r="P275" s="1" t="s">
        <v>60</v>
      </c>
      <c r="Q275" s="10">
        <v>0.98</v>
      </c>
    </row>
    <row r="276" spans="1:17" x14ac:dyDescent="0.35">
      <c r="A276" t="str">
        <f t="shared" si="4"/>
        <v>NOI000275</v>
      </c>
      <c r="B276" s="6">
        <v>45812</v>
      </c>
      <c r="C276" s="1" t="s">
        <v>64</v>
      </c>
      <c r="D276" s="1">
        <v>23</v>
      </c>
      <c r="E276" s="8" t="s">
        <v>76</v>
      </c>
      <c r="F276" t="s">
        <v>28</v>
      </c>
      <c r="G276" s="1" t="s">
        <v>41</v>
      </c>
      <c r="H276" t="s">
        <v>62</v>
      </c>
      <c r="I276" s="1" t="s">
        <v>42</v>
      </c>
      <c r="J276" s="1" t="s">
        <v>50</v>
      </c>
      <c r="K276" s="1">
        <v>1</v>
      </c>
      <c r="L276" t="s">
        <v>53</v>
      </c>
      <c r="M276" t="s">
        <v>56</v>
      </c>
      <c r="N276" t="s">
        <v>58</v>
      </c>
      <c r="O276" s="1">
        <v>7</v>
      </c>
      <c r="P276" s="1" t="s">
        <v>60</v>
      </c>
      <c r="Q276" s="10">
        <v>0.94</v>
      </c>
    </row>
    <row r="277" spans="1:17" x14ac:dyDescent="0.35">
      <c r="A277" t="str">
        <f t="shared" si="4"/>
        <v>NOI000276</v>
      </c>
      <c r="B277" s="6">
        <v>45907</v>
      </c>
      <c r="C277" s="1" t="s">
        <v>72</v>
      </c>
      <c r="D277" s="1">
        <v>37</v>
      </c>
      <c r="E277" s="8" t="s">
        <v>79</v>
      </c>
      <c r="F277" t="s">
        <v>26</v>
      </c>
      <c r="G277" s="1" t="s">
        <v>39</v>
      </c>
      <c r="H277" t="s">
        <v>62</v>
      </c>
      <c r="I277" s="1" t="s">
        <v>47</v>
      </c>
      <c r="J277" s="1" t="s">
        <v>51</v>
      </c>
      <c r="K277" s="1">
        <v>1</v>
      </c>
      <c r="L277" t="s">
        <v>54</v>
      </c>
      <c r="M277" t="s">
        <v>56</v>
      </c>
      <c r="N277" t="s">
        <v>59</v>
      </c>
      <c r="O277" s="1">
        <v>8</v>
      </c>
      <c r="P277" s="1" t="s">
        <v>60</v>
      </c>
      <c r="Q277" s="10">
        <v>0.98</v>
      </c>
    </row>
    <row r="278" spans="1:17" x14ac:dyDescent="0.35">
      <c r="A278" t="str">
        <f t="shared" si="4"/>
        <v>NOI000277</v>
      </c>
      <c r="B278" s="6">
        <v>45717</v>
      </c>
      <c r="C278" s="1" t="s">
        <v>65</v>
      </c>
      <c r="D278" s="1">
        <v>9</v>
      </c>
      <c r="E278" s="8" t="s">
        <v>77</v>
      </c>
      <c r="F278" t="s">
        <v>18</v>
      </c>
      <c r="G278" s="1" t="s">
        <v>39</v>
      </c>
      <c r="H278" t="s">
        <v>62</v>
      </c>
      <c r="I278" s="1" t="s">
        <v>47</v>
      </c>
      <c r="J278" s="1" t="s">
        <v>51</v>
      </c>
      <c r="K278" s="1">
        <v>1</v>
      </c>
      <c r="L278" t="s">
        <v>54</v>
      </c>
      <c r="M278" t="s">
        <v>56</v>
      </c>
      <c r="N278" t="s">
        <v>58</v>
      </c>
      <c r="O278" s="1">
        <v>6</v>
      </c>
      <c r="P278" s="1" t="s">
        <v>60</v>
      </c>
      <c r="Q278" s="10">
        <v>0.95</v>
      </c>
    </row>
    <row r="279" spans="1:17" x14ac:dyDescent="0.35">
      <c r="A279" t="str">
        <f t="shared" si="4"/>
        <v>NOI000278</v>
      </c>
      <c r="B279" s="6">
        <v>45766</v>
      </c>
      <c r="C279" s="1" t="s">
        <v>68</v>
      </c>
      <c r="D279" s="1">
        <v>16</v>
      </c>
      <c r="E279" s="8" t="s">
        <v>76</v>
      </c>
      <c r="F279" t="s">
        <v>27</v>
      </c>
      <c r="G279" s="1" t="s">
        <v>40</v>
      </c>
      <c r="H279" t="s">
        <v>62</v>
      </c>
      <c r="I279" s="1" t="s">
        <v>48</v>
      </c>
      <c r="J279" s="1" t="s">
        <v>51</v>
      </c>
      <c r="K279" s="1">
        <v>1</v>
      </c>
      <c r="L279" t="s">
        <v>54</v>
      </c>
      <c r="M279" t="s">
        <v>56</v>
      </c>
      <c r="N279" t="s">
        <v>58</v>
      </c>
      <c r="O279" s="1">
        <v>7</v>
      </c>
      <c r="P279" s="1" t="s">
        <v>60</v>
      </c>
      <c r="Q279" s="10">
        <v>0.96</v>
      </c>
    </row>
    <row r="280" spans="1:17" x14ac:dyDescent="0.35">
      <c r="A280" t="str">
        <f t="shared" si="4"/>
        <v>NOI000279</v>
      </c>
      <c r="B280" s="6">
        <v>45919</v>
      </c>
      <c r="C280" s="1" t="s">
        <v>72</v>
      </c>
      <c r="D280" s="1">
        <v>38</v>
      </c>
      <c r="E280" s="8" t="s">
        <v>79</v>
      </c>
      <c r="F280" t="s">
        <v>35</v>
      </c>
      <c r="G280" s="1" t="s">
        <v>38</v>
      </c>
      <c r="H280" t="s">
        <v>62</v>
      </c>
      <c r="I280" s="1" t="s">
        <v>43</v>
      </c>
      <c r="J280" s="1" t="s">
        <v>50</v>
      </c>
      <c r="K280" s="1">
        <v>1</v>
      </c>
      <c r="L280" t="s">
        <v>53</v>
      </c>
      <c r="M280" t="s">
        <v>56</v>
      </c>
      <c r="N280" t="s">
        <v>58</v>
      </c>
      <c r="O280" s="1">
        <v>7</v>
      </c>
      <c r="P280" s="1" t="s">
        <v>60</v>
      </c>
      <c r="Q280" s="10">
        <v>0.97</v>
      </c>
    </row>
    <row r="281" spans="1:17" x14ac:dyDescent="0.35">
      <c r="A281" t="str">
        <f t="shared" si="4"/>
        <v>NOI000280</v>
      </c>
      <c r="B281" s="6">
        <v>45879</v>
      </c>
      <c r="C281" s="1" t="s">
        <v>74</v>
      </c>
      <c r="D281" s="1">
        <v>33</v>
      </c>
      <c r="E281" s="8" t="s">
        <v>79</v>
      </c>
      <c r="F281" t="s">
        <v>25</v>
      </c>
      <c r="G281" s="1" t="s">
        <v>41</v>
      </c>
      <c r="H281" t="s">
        <v>62</v>
      </c>
      <c r="I281" s="1" t="s">
        <v>49</v>
      </c>
      <c r="J281" s="1" t="s">
        <v>51</v>
      </c>
      <c r="K281" s="1">
        <v>1</v>
      </c>
      <c r="L281" t="s">
        <v>54</v>
      </c>
      <c r="M281" t="s">
        <v>56</v>
      </c>
      <c r="N281" t="s">
        <v>58</v>
      </c>
      <c r="O281" s="1">
        <v>9</v>
      </c>
      <c r="P281" s="1" t="s">
        <v>60</v>
      </c>
      <c r="Q281" s="10">
        <v>0.99</v>
      </c>
    </row>
    <row r="282" spans="1:17" x14ac:dyDescent="0.35">
      <c r="A282" t="str">
        <f t="shared" si="4"/>
        <v>NOI000281</v>
      </c>
      <c r="B282" s="6">
        <v>45882</v>
      </c>
      <c r="C282" s="1" t="s">
        <v>74</v>
      </c>
      <c r="D282" s="1">
        <v>33</v>
      </c>
      <c r="E282" s="8" t="s">
        <v>79</v>
      </c>
      <c r="F282" t="s">
        <v>19</v>
      </c>
      <c r="G282" s="1" t="s">
        <v>37</v>
      </c>
      <c r="H282" t="s">
        <v>62</v>
      </c>
      <c r="I282" s="1" t="s">
        <v>48</v>
      </c>
      <c r="J282" s="1" t="s">
        <v>50</v>
      </c>
      <c r="K282" s="1">
        <v>1</v>
      </c>
      <c r="L282" t="s">
        <v>54</v>
      </c>
      <c r="M282" t="s">
        <v>56</v>
      </c>
      <c r="N282" t="s">
        <v>58</v>
      </c>
      <c r="O282" s="1">
        <v>7</v>
      </c>
      <c r="P282" s="1" t="s">
        <v>61</v>
      </c>
      <c r="Q282" s="10">
        <v>0.96</v>
      </c>
    </row>
    <row r="283" spans="1:17" x14ac:dyDescent="0.35">
      <c r="A283" t="str">
        <f t="shared" si="4"/>
        <v>NOI000282</v>
      </c>
      <c r="B283" s="6">
        <v>45706</v>
      </c>
      <c r="C283" s="1" t="s">
        <v>75</v>
      </c>
      <c r="D283" s="1">
        <v>8</v>
      </c>
      <c r="E283" s="8" t="s">
        <v>77</v>
      </c>
      <c r="F283" t="s">
        <v>27</v>
      </c>
      <c r="G283" s="1" t="s">
        <v>38</v>
      </c>
      <c r="H283" t="s">
        <v>62</v>
      </c>
      <c r="I283" s="1" t="s">
        <v>49</v>
      </c>
      <c r="J283" s="1" t="s">
        <v>51</v>
      </c>
      <c r="K283" s="1">
        <v>1</v>
      </c>
      <c r="L283" t="s">
        <v>53</v>
      </c>
      <c r="M283" t="s">
        <v>56</v>
      </c>
      <c r="N283" t="s">
        <v>58</v>
      </c>
      <c r="O283" s="1">
        <v>9</v>
      </c>
      <c r="P283" s="1" t="s">
        <v>60</v>
      </c>
      <c r="Q283" s="10">
        <v>0.98</v>
      </c>
    </row>
    <row r="284" spans="1:17" x14ac:dyDescent="0.35">
      <c r="A284" t="str">
        <f t="shared" si="4"/>
        <v>NOI000283</v>
      </c>
      <c r="B284" s="6">
        <v>45981</v>
      </c>
      <c r="C284" s="1" t="s">
        <v>73</v>
      </c>
      <c r="D284" s="1">
        <v>47</v>
      </c>
      <c r="E284" s="8" t="s">
        <v>78</v>
      </c>
      <c r="F284" t="s">
        <v>20</v>
      </c>
      <c r="G284" s="1" t="s">
        <v>41</v>
      </c>
      <c r="H284" t="s">
        <v>62</v>
      </c>
      <c r="I284" s="1" t="s">
        <v>42</v>
      </c>
      <c r="J284" s="1" t="s">
        <v>50</v>
      </c>
      <c r="K284" s="1">
        <v>1</v>
      </c>
      <c r="L284" t="s">
        <v>53</v>
      </c>
      <c r="M284" t="s">
        <v>56</v>
      </c>
      <c r="N284" t="s">
        <v>58</v>
      </c>
      <c r="O284" s="1">
        <v>6</v>
      </c>
      <c r="P284" s="1" t="s">
        <v>60</v>
      </c>
      <c r="Q284" s="10">
        <v>0.94</v>
      </c>
    </row>
    <row r="285" spans="1:17" x14ac:dyDescent="0.35">
      <c r="A285" t="str">
        <f t="shared" si="4"/>
        <v>NOI000284</v>
      </c>
      <c r="B285" s="6">
        <v>45983</v>
      </c>
      <c r="C285" s="1" t="s">
        <v>73</v>
      </c>
      <c r="D285" s="1">
        <v>47</v>
      </c>
      <c r="E285" s="8" t="s">
        <v>78</v>
      </c>
      <c r="F285" t="s">
        <v>24</v>
      </c>
      <c r="G285" s="1" t="s">
        <v>39</v>
      </c>
      <c r="H285" t="s">
        <v>62</v>
      </c>
      <c r="I285" s="1" t="s">
        <v>43</v>
      </c>
      <c r="J285" s="1" t="s">
        <v>50</v>
      </c>
      <c r="K285" s="1">
        <v>1</v>
      </c>
      <c r="L285" t="s">
        <v>53</v>
      </c>
      <c r="M285" t="s">
        <v>57</v>
      </c>
      <c r="N285" t="s">
        <v>58</v>
      </c>
      <c r="O285" s="1">
        <v>8</v>
      </c>
      <c r="P285" s="1" t="s">
        <v>60</v>
      </c>
      <c r="Q285" s="10">
        <v>0.99</v>
      </c>
    </row>
    <row r="286" spans="1:17" x14ac:dyDescent="0.35">
      <c r="A286" t="str">
        <f t="shared" si="4"/>
        <v>NOI000285</v>
      </c>
      <c r="B286" s="6">
        <v>45706</v>
      </c>
      <c r="C286" s="1" t="s">
        <v>75</v>
      </c>
      <c r="D286" s="1">
        <v>8</v>
      </c>
      <c r="E286" s="8" t="s">
        <v>77</v>
      </c>
      <c r="F286" t="s">
        <v>31</v>
      </c>
      <c r="G286" s="1" t="s">
        <v>37</v>
      </c>
      <c r="H286" t="s">
        <v>62</v>
      </c>
      <c r="I286" s="1" t="s">
        <v>49</v>
      </c>
      <c r="J286" s="1" t="s">
        <v>51</v>
      </c>
      <c r="K286" s="1">
        <v>1</v>
      </c>
      <c r="L286" t="s">
        <v>54</v>
      </c>
      <c r="M286" t="s">
        <v>56</v>
      </c>
      <c r="N286" t="s">
        <v>58</v>
      </c>
      <c r="O286" s="1">
        <v>9</v>
      </c>
      <c r="P286" s="1" t="s">
        <v>60</v>
      </c>
      <c r="Q286" s="10">
        <v>0.97</v>
      </c>
    </row>
    <row r="287" spans="1:17" x14ac:dyDescent="0.35">
      <c r="A287" t="str">
        <f t="shared" si="4"/>
        <v>NOI000286</v>
      </c>
      <c r="B287" s="6">
        <v>45661</v>
      </c>
      <c r="C287" s="1" t="s">
        <v>67</v>
      </c>
      <c r="D287" s="1">
        <v>1</v>
      </c>
      <c r="E287" s="8" t="s">
        <v>77</v>
      </c>
      <c r="F287" t="s">
        <v>18</v>
      </c>
      <c r="G287" s="1" t="s">
        <v>41</v>
      </c>
      <c r="H287" t="s">
        <v>62</v>
      </c>
      <c r="I287" s="1" t="s">
        <v>49</v>
      </c>
      <c r="J287" s="1" t="s">
        <v>51</v>
      </c>
      <c r="K287" s="1">
        <v>1</v>
      </c>
      <c r="L287" t="s">
        <v>54</v>
      </c>
      <c r="M287" t="s">
        <v>56</v>
      </c>
      <c r="N287" t="s">
        <v>58</v>
      </c>
      <c r="O287" s="1">
        <v>10</v>
      </c>
      <c r="P287" s="1" t="s">
        <v>60</v>
      </c>
      <c r="Q287" s="10">
        <v>0.97</v>
      </c>
    </row>
    <row r="288" spans="1:17" x14ac:dyDescent="0.35">
      <c r="A288" t="str">
        <f t="shared" si="4"/>
        <v>NOI000287</v>
      </c>
      <c r="B288" s="6">
        <v>45727</v>
      </c>
      <c r="C288" s="1" t="s">
        <v>65</v>
      </c>
      <c r="D288" s="1">
        <v>11</v>
      </c>
      <c r="E288" s="8" t="s">
        <v>77</v>
      </c>
      <c r="F288" t="s">
        <v>32</v>
      </c>
      <c r="G288" s="1" t="s">
        <v>41</v>
      </c>
      <c r="H288" t="s">
        <v>62</v>
      </c>
      <c r="I288" s="1" t="s">
        <v>47</v>
      </c>
      <c r="J288" s="1" t="s">
        <v>51</v>
      </c>
      <c r="K288" s="1">
        <v>1</v>
      </c>
      <c r="L288" t="s">
        <v>53</v>
      </c>
      <c r="M288" t="s">
        <v>56</v>
      </c>
      <c r="N288" t="s">
        <v>58</v>
      </c>
      <c r="O288" s="1">
        <v>9</v>
      </c>
      <c r="P288" s="1" t="s">
        <v>61</v>
      </c>
      <c r="Q288" s="10">
        <v>0.94</v>
      </c>
    </row>
    <row r="289" spans="1:17" x14ac:dyDescent="0.35">
      <c r="A289" t="str">
        <f t="shared" si="4"/>
        <v>NOI000288</v>
      </c>
      <c r="B289" s="6">
        <v>45659</v>
      </c>
      <c r="C289" s="1" t="s">
        <v>67</v>
      </c>
      <c r="D289" s="1">
        <v>1</v>
      </c>
      <c r="E289" s="8" t="s">
        <v>77</v>
      </c>
      <c r="F289" t="s">
        <v>35</v>
      </c>
      <c r="G289" s="1" t="s">
        <v>41</v>
      </c>
      <c r="H289" t="s">
        <v>62</v>
      </c>
      <c r="I289" s="1" t="s">
        <v>47</v>
      </c>
      <c r="J289" s="1" t="s">
        <v>50</v>
      </c>
      <c r="K289" s="1">
        <v>1</v>
      </c>
      <c r="L289" t="s">
        <v>54</v>
      </c>
      <c r="M289" t="s">
        <v>56</v>
      </c>
      <c r="N289" t="s">
        <v>58</v>
      </c>
      <c r="O289" s="1">
        <v>9</v>
      </c>
      <c r="P289" s="1" t="s">
        <v>60</v>
      </c>
      <c r="Q289" s="10">
        <v>0.96</v>
      </c>
    </row>
    <row r="290" spans="1:17" x14ac:dyDescent="0.35">
      <c r="A290" t="str">
        <f t="shared" si="4"/>
        <v>NOI000289</v>
      </c>
      <c r="B290" s="6">
        <v>45690</v>
      </c>
      <c r="C290" s="1" t="s">
        <v>75</v>
      </c>
      <c r="D290" s="1">
        <v>6</v>
      </c>
      <c r="E290" s="8" t="s">
        <v>77</v>
      </c>
      <c r="F290" t="s">
        <v>22</v>
      </c>
      <c r="G290" s="1" t="s">
        <v>37</v>
      </c>
      <c r="H290" t="s">
        <v>62</v>
      </c>
      <c r="I290" s="1" t="s">
        <v>44</v>
      </c>
      <c r="J290" s="1" t="s">
        <v>50</v>
      </c>
      <c r="K290" s="1">
        <v>1</v>
      </c>
      <c r="L290" t="s">
        <v>53</v>
      </c>
      <c r="M290" t="s">
        <v>56</v>
      </c>
      <c r="N290" t="s">
        <v>58</v>
      </c>
      <c r="O290" s="1">
        <v>6</v>
      </c>
      <c r="P290" s="1" t="s">
        <v>60</v>
      </c>
      <c r="Q290" s="10">
        <v>0.95</v>
      </c>
    </row>
    <row r="291" spans="1:17" x14ac:dyDescent="0.35">
      <c r="A291" t="str">
        <f t="shared" si="4"/>
        <v>NOI000290</v>
      </c>
      <c r="B291" s="6">
        <v>45948</v>
      </c>
      <c r="C291" s="1" t="s">
        <v>66</v>
      </c>
      <c r="D291" s="1">
        <v>42</v>
      </c>
      <c r="E291" s="8" t="s">
        <v>78</v>
      </c>
      <c r="F291" t="s">
        <v>19</v>
      </c>
      <c r="G291" s="1" t="s">
        <v>39</v>
      </c>
      <c r="H291" t="s">
        <v>62</v>
      </c>
      <c r="I291" s="1" t="s">
        <v>42</v>
      </c>
      <c r="J291" s="1" t="s">
        <v>51</v>
      </c>
      <c r="K291" s="1">
        <v>1</v>
      </c>
      <c r="L291" t="s">
        <v>53</v>
      </c>
      <c r="M291" t="s">
        <v>56</v>
      </c>
      <c r="N291" t="s">
        <v>58</v>
      </c>
      <c r="O291" s="1">
        <v>9</v>
      </c>
      <c r="P291" s="1" t="s">
        <v>60</v>
      </c>
      <c r="Q291" s="10">
        <v>0.96</v>
      </c>
    </row>
    <row r="292" spans="1:17" x14ac:dyDescent="0.35">
      <c r="A292" t="str">
        <f t="shared" si="4"/>
        <v>NOI000291</v>
      </c>
      <c r="B292" s="6">
        <v>45757</v>
      </c>
      <c r="C292" s="1" t="s">
        <v>68</v>
      </c>
      <c r="D292" s="1">
        <v>15</v>
      </c>
      <c r="E292" s="8" t="s">
        <v>76</v>
      </c>
      <c r="F292" t="s">
        <v>28</v>
      </c>
      <c r="G292" s="1" t="s">
        <v>41</v>
      </c>
      <c r="H292" t="s">
        <v>62</v>
      </c>
      <c r="I292" s="1" t="s">
        <v>46</v>
      </c>
      <c r="J292" s="1" t="s">
        <v>51</v>
      </c>
      <c r="K292" s="1">
        <v>1</v>
      </c>
      <c r="L292" t="s">
        <v>53</v>
      </c>
      <c r="M292" t="s">
        <v>56</v>
      </c>
      <c r="N292" t="s">
        <v>58</v>
      </c>
      <c r="O292" s="1">
        <v>9</v>
      </c>
      <c r="P292" s="1" t="s">
        <v>60</v>
      </c>
      <c r="Q292" s="10">
        <v>0.96</v>
      </c>
    </row>
    <row r="293" spans="1:17" x14ac:dyDescent="0.35">
      <c r="A293" t="str">
        <f t="shared" si="4"/>
        <v>NOI000292</v>
      </c>
      <c r="B293" s="6">
        <v>45789</v>
      </c>
      <c r="C293" s="1" t="s">
        <v>69</v>
      </c>
      <c r="D293" s="1">
        <v>20</v>
      </c>
      <c r="E293" s="8" t="s">
        <v>76</v>
      </c>
      <c r="F293" t="s">
        <v>36</v>
      </c>
      <c r="G293" s="1" t="s">
        <v>39</v>
      </c>
      <c r="H293" t="s">
        <v>62</v>
      </c>
      <c r="I293" s="1" t="s">
        <v>45</v>
      </c>
      <c r="J293" s="1" t="s">
        <v>51</v>
      </c>
      <c r="K293" s="1">
        <v>1</v>
      </c>
      <c r="L293" t="s">
        <v>54</v>
      </c>
      <c r="M293" t="s">
        <v>56</v>
      </c>
      <c r="N293" t="s">
        <v>59</v>
      </c>
      <c r="O293" s="1">
        <v>10</v>
      </c>
      <c r="P293" s="1" t="s">
        <v>60</v>
      </c>
      <c r="Q293" s="10">
        <v>0.99</v>
      </c>
    </row>
    <row r="294" spans="1:17" x14ac:dyDescent="0.35">
      <c r="A294" t="str">
        <f t="shared" si="4"/>
        <v>NOI000293</v>
      </c>
      <c r="B294" s="6">
        <v>45906</v>
      </c>
      <c r="C294" s="1" t="s">
        <v>72</v>
      </c>
      <c r="D294" s="1">
        <v>36</v>
      </c>
      <c r="E294" s="8" t="s">
        <v>79</v>
      </c>
      <c r="F294" t="s">
        <v>25</v>
      </c>
      <c r="G294" s="1" t="s">
        <v>41</v>
      </c>
      <c r="H294" t="s">
        <v>63</v>
      </c>
      <c r="I294" s="1" t="s">
        <v>44</v>
      </c>
      <c r="J294" s="1" t="s">
        <v>51</v>
      </c>
      <c r="K294" s="1">
        <v>1</v>
      </c>
      <c r="L294" t="s">
        <v>54</v>
      </c>
      <c r="M294" t="s">
        <v>56</v>
      </c>
      <c r="N294" t="s">
        <v>58</v>
      </c>
      <c r="O294" s="1">
        <v>8</v>
      </c>
      <c r="P294" s="1" t="s">
        <v>60</v>
      </c>
      <c r="Q294" s="10">
        <v>0.98</v>
      </c>
    </row>
    <row r="295" spans="1:17" x14ac:dyDescent="0.35">
      <c r="A295" t="str">
        <f t="shared" si="4"/>
        <v>NOI000294</v>
      </c>
      <c r="B295" s="6">
        <v>45707</v>
      </c>
      <c r="C295" s="1" t="s">
        <v>75</v>
      </c>
      <c r="D295" s="1">
        <v>8</v>
      </c>
      <c r="E295" s="8" t="s">
        <v>77</v>
      </c>
      <c r="F295" t="s">
        <v>35</v>
      </c>
      <c r="G295" s="1" t="s">
        <v>40</v>
      </c>
      <c r="H295" t="s">
        <v>62</v>
      </c>
      <c r="I295" s="1" t="s">
        <v>48</v>
      </c>
      <c r="J295" s="1" t="s">
        <v>51</v>
      </c>
      <c r="K295" s="1">
        <v>1</v>
      </c>
      <c r="L295" t="s">
        <v>54</v>
      </c>
      <c r="M295" t="s">
        <v>56</v>
      </c>
      <c r="N295" t="s">
        <v>58</v>
      </c>
      <c r="O295" s="1">
        <v>7</v>
      </c>
      <c r="P295" s="1" t="s">
        <v>60</v>
      </c>
      <c r="Q295" s="10">
        <v>0.98</v>
      </c>
    </row>
    <row r="296" spans="1:17" x14ac:dyDescent="0.35">
      <c r="A296" t="str">
        <f t="shared" si="4"/>
        <v>NOI000295</v>
      </c>
      <c r="B296" s="6">
        <v>45669</v>
      </c>
      <c r="C296" s="1" t="s">
        <v>67</v>
      </c>
      <c r="D296" s="1">
        <v>3</v>
      </c>
      <c r="E296" s="8" t="s">
        <v>77</v>
      </c>
      <c r="F296" t="s">
        <v>30</v>
      </c>
      <c r="G296" s="1" t="s">
        <v>38</v>
      </c>
      <c r="H296" t="s">
        <v>62</v>
      </c>
      <c r="I296" s="1" t="s">
        <v>42</v>
      </c>
      <c r="J296" s="1" t="s">
        <v>50</v>
      </c>
      <c r="K296" s="1">
        <v>1</v>
      </c>
      <c r="L296" t="s">
        <v>53</v>
      </c>
      <c r="M296" t="s">
        <v>56</v>
      </c>
      <c r="N296" t="s">
        <v>58</v>
      </c>
      <c r="O296" s="1">
        <v>10</v>
      </c>
      <c r="P296" s="1" t="s">
        <v>61</v>
      </c>
      <c r="Q296" s="10">
        <v>0.98</v>
      </c>
    </row>
    <row r="297" spans="1:17" x14ac:dyDescent="0.35">
      <c r="A297" t="str">
        <f t="shared" si="4"/>
        <v>NOI000296</v>
      </c>
      <c r="B297" s="6">
        <v>45893</v>
      </c>
      <c r="C297" s="1" t="s">
        <v>74</v>
      </c>
      <c r="D297" s="1">
        <v>35</v>
      </c>
      <c r="E297" s="8" t="s">
        <v>79</v>
      </c>
      <c r="F297" t="s">
        <v>29</v>
      </c>
      <c r="G297" s="1" t="s">
        <v>37</v>
      </c>
      <c r="H297" t="s">
        <v>62</v>
      </c>
      <c r="I297" s="1" t="s">
        <v>42</v>
      </c>
      <c r="J297" s="1" t="s">
        <v>51</v>
      </c>
      <c r="K297" s="1">
        <v>1</v>
      </c>
      <c r="L297" t="s">
        <v>54</v>
      </c>
      <c r="M297" t="s">
        <v>56</v>
      </c>
      <c r="N297" t="s">
        <v>58</v>
      </c>
      <c r="O297" s="1">
        <v>9</v>
      </c>
      <c r="P297" s="1" t="s">
        <v>60</v>
      </c>
      <c r="Q297" s="10">
        <v>0.96</v>
      </c>
    </row>
    <row r="298" spans="1:17" x14ac:dyDescent="0.35">
      <c r="A298" t="str">
        <f t="shared" si="4"/>
        <v>NOI000297</v>
      </c>
      <c r="B298" s="6">
        <v>45909</v>
      </c>
      <c r="C298" s="1" t="s">
        <v>72</v>
      </c>
      <c r="D298" s="1">
        <v>37</v>
      </c>
      <c r="E298" s="8" t="s">
        <v>79</v>
      </c>
      <c r="F298" t="s">
        <v>19</v>
      </c>
      <c r="G298" s="1" t="s">
        <v>39</v>
      </c>
      <c r="H298" t="s">
        <v>62</v>
      </c>
      <c r="I298" s="1" t="s">
        <v>44</v>
      </c>
      <c r="J298" s="1" t="s">
        <v>51</v>
      </c>
      <c r="K298" s="1">
        <v>1</v>
      </c>
      <c r="L298" t="s">
        <v>54</v>
      </c>
      <c r="M298" t="s">
        <v>56</v>
      </c>
      <c r="N298" t="s">
        <v>58</v>
      </c>
      <c r="O298" s="1">
        <v>10</v>
      </c>
      <c r="P298" s="1" t="s">
        <v>60</v>
      </c>
      <c r="Q298" s="10">
        <v>0.98</v>
      </c>
    </row>
    <row r="299" spans="1:17" x14ac:dyDescent="0.35">
      <c r="A299" t="str">
        <f t="shared" si="4"/>
        <v>NOI000298</v>
      </c>
      <c r="B299" s="6">
        <v>45831</v>
      </c>
      <c r="C299" s="1" t="s">
        <v>64</v>
      </c>
      <c r="D299" s="1">
        <v>26</v>
      </c>
      <c r="E299" s="8" t="s">
        <v>76</v>
      </c>
      <c r="F299" t="s">
        <v>29</v>
      </c>
      <c r="G299" s="1" t="s">
        <v>40</v>
      </c>
      <c r="H299" t="s">
        <v>62</v>
      </c>
      <c r="I299" s="1" t="s">
        <v>43</v>
      </c>
      <c r="J299" s="1" t="s">
        <v>51</v>
      </c>
      <c r="K299" s="1">
        <v>1</v>
      </c>
      <c r="L299" t="s">
        <v>54</v>
      </c>
      <c r="M299" t="s">
        <v>56</v>
      </c>
      <c r="N299" t="s">
        <v>58</v>
      </c>
      <c r="O299" s="1">
        <v>9</v>
      </c>
      <c r="P299" s="1" t="s">
        <v>60</v>
      </c>
      <c r="Q299" s="10">
        <v>0.96</v>
      </c>
    </row>
    <row r="300" spans="1:17" x14ac:dyDescent="0.35">
      <c r="A300" t="str">
        <f t="shared" si="4"/>
        <v>NOI000299</v>
      </c>
      <c r="B300" s="6">
        <v>45680</v>
      </c>
      <c r="C300" s="1" t="s">
        <v>67</v>
      </c>
      <c r="D300" s="1">
        <v>4</v>
      </c>
      <c r="E300" s="8" t="s">
        <v>77</v>
      </c>
      <c r="F300" t="s">
        <v>18</v>
      </c>
      <c r="G300" s="1" t="s">
        <v>41</v>
      </c>
      <c r="H300" t="s">
        <v>63</v>
      </c>
      <c r="I300" s="1" t="s">
        <v>42</v>
      </c>
      <c r="J300" s="1" t="s">
        <v>50</v>
      </c>
      <c r="K300" s="1">
        <v>1</v>
      </c>
      <c r="L300" t="s">
        <v>53</v>
      </c>
      <c r="M300" t="s">
        <v>56</v>
      </c>
      <c r="N300" t="s">
        <v>58</v>
      </c>
      <c r="O300" s="1">
        <v>6</v>
      </c>
      <c r="P300" s="1" t="s">
        <v>60</v>
      </c>
      <c r="Q300" s="10">
        <v>0.94</v>
      </c>
    </row>
    <row r="301" spans="1:17" x14ac:dyDescent="0.35">
      <c r="A301" t="str">
        <f t="shared" si="4"/>
        <v>NOI000300</v>
      </c>
      <c r="B301" s="6">
        <v>45853</v>
      </c>
      <c r="C301" s="1" t="s">
        <v>70</v>
      </c>
      <c r="D301" s="1">
        <v>29</v>
      </c>
      <c r="E301" s="8" t="s">
        <v>79</v>
      </c>
      <c r="F301" t="s">
        <v>31</v>
      </c>
      <c r="G301" s="1" t="s">
        <v>41</v>
      </c>
      <c r="H301" t="s">
        <v>62</v>
      </c>
      <c r="I301" s="1" t="s">
        <v>44</v>
      </c>
      <c r="J301" s="1" t="s">
        <v>50</v>
      </c>
      <c r="K301" s="1">
        <v>1</v>
      </c>
      <c r="L301" t="s">
        <v>54</v>
      </c>
      <c r="M301" t="s">
        <v>56</v>
      </c>
      <c r="N301" t="s">
        <v>59</v>
      </c>
      <c r="O301" s="1">
        <v>9</v>
      </c>
      <c r="P301" s="1" t="s">
        <v>60</v>
      </c>
      <c r="Q301" s="10">
        <v>0.99</v>
      </c>
    </row>
    <row r="302" spans="1:17" x14ac:dyDescent="0.35">
      <c r="A302" t="str">
        <f t="shared" si="4"/>
        <v>NOI000301</v>
      </c>
      <c r="B302" s="6">
        <v>45956</v>
      </c>
      <c r="C302" s="1" t="s">
        <v>66</v>
      </c>
      <c r="D302" s="1">
        <v>44</v>
      </c>
      <c r="E302" s="8" t="s">
        <v>78</v>
      </c>
      <c r="F302" t="s">
        <v>21</v>
      </c>
      <c r="G302" s="1" t="s">
        <v>38</v>
      </c>
      <c r="H302" t="s">
        <v>62</v>
      </c>
      <c r="I302" s="1" t="s">
        <v>45</v>
      </c>
      <c r="J302" s="1" t="s">
        <v>51</v>
      </c>
      <c r="K302" s="1">
        <v>1</v>
      </c>
      <c r="L302" t="s">
        <v>53</v>
      </c>
      <c r="M302" t="s">
        <v>56</v>
      </c>
      <c r="N302" t="s">
        <v>58</v>
      </c>
      <c r="O302" s="1">
        <v>10</v>
      </c>
      <c r="P302" s="1" t="s">
        <v>60</v>
      </c>
      <c r="Q302" s="10">
        <v>0.94</v>
      </c>
    </row>
    <row r="303" spans="1:17" x14ac:dyDescent="0.35">
      <c r="A303" t="str">
        <f t="shared" si="4"/>
        <v>NOI000302</v>
      </c>
      <c r="B303" s="6">
        <v>45760</v>
      </c>
      <c r="C303" s="1" t="s">
        <v>68</v>
      </c>
      <c r="D303" s="1">
        <v>16</v>
      </c>
      <c r="E303" s="8" t="s">
        <v>76</v>
      </c>
      <c r="F303" t="s">
        <v>17</v>
      </c>
      <c r="G303" s="1" t="s">
        <v>41</v>
      </c>
      <c r="H303" t="s">
        <v>62</v>
      </c>
      <c r="I303" s="1" t="s">
        <v>47</v>
      </c>
      <c r="J303" s="1" t="s">
        <v>51</v>
      </c>
      <c r="K303" s="1">
        <v>1</v>
      </c>
      <c r="L303" t="s">
        <v>54</v>
      </c>
      <c r="M303" t="s">
        <v>56</v>
      </c>
      <c r="N303" t="s">
        <v>58</v>
      </c>
      <c r="O303" s="1">
        <v>6</v>
      </c>
      <c r="P303" s="1" t="s">
        <v>60</v>
      </c>
      <c r="Q303" s="10">
        <v>0.94</v>
      </c>
    </row>
    <row r="304" spans="1:17" x14ac:dyDescent="0.35">
      <c r="A304" t="str">
        <f t="shared" si="4"/>
        <v>NOI000303</v>
      </c>
      <c r="B304" s="6">
        <v>45962</v>
      </c>
      <c r="C304" s="1" t="s">
        <v>73</v>
      </c>
      <c r="D304" s="1">
        <v>44</v>
      </c>
      <c r="E304" s="8" t="s">
        <v>78</v>
      </c>
      <c r="F304" t="s">
        <v>32</v>
      </c>
      <c r="G304" s="1" t="s">
        <v>39</v>
      </c>
      <c r="H304" t="s">
        <v>62</v>
      </c>
      <c r="I304" s="1" t="s">
        <v>48</v>
      </c>
      <c r="J304" s="1" t="s">
        <v>51</v>
      </c>
      <c r="K304" s="1">
        <v>1</v>
      </c>
      <c r="L304" t="s">
        <v>54</v>
      </c>
      <c r="M304" t="s">
        <v>56</v>
      </c>
      <c r="N304" t="s">
        <v>58</v>
      </c>
      <c r="O304" s="1">
        <v>9</v>
      </c>
      <c r="P304" s="1" t="s">
        <v>60</v>
      </c>
      <c r="Q304" s="10">
        <v>0.96</v>
      </c>
    </row>
    <row r="305" spans="1:17" x14ac:dyDescent="0.35">
      <c r="A305" t="str">
        <f t="shared" si="4"/>
        <v>NOI000304</v>
      </c>
      <c r="B305" s="6">
        <v>45690</v>
      </c>
      <c r="C305" s="1" t="s">
        <v>75</v>
      </c>
      <c r="D305" s="1">
        <v>6</v>
      </c>
      <c r="E305" s="8" t="s">
        <v>77</v>
      </c>
      <c r="F305" t="s">
        <v>33</v>
      </c>
      <c r="G305" s="1" t="s">
        <v>38</v>
      </c>
      <c r="H305" t="s">
        <v>63</v>
      </c>
      <c r="I305" s="1" t="s">
        <v>45</v>
      </c>
      <c r="J305" s="1" t="s">
        <v>50</v>
      </c>
      <c r="K305" s="1">
        <v>1</v>
      </c>
      <c r="L305" t="s">
        <v>53</v>
      </c>
      <c r="M305" t="s">
        <v>56</v>
      </c>
      <c r="N305" t="s">
        <v>58</v>
      </c>
      <c r="O305" s="1">
        <v>8</v>
      </c>
      <c r="P305" s="1" t="s">
        <v>60</v>
      </c>
      <c r="Q305" s="10">
        <v>0.95</v>
      </c>
    </row>
    <row r="306" spans="1:17" x14ac:dyDescent="0.35">
      <c r="A306" t="str">
        <f t="shared" si="4"/>
        <v>NOI000305</v>
      </c>
      <c r="B306" s="6">
        <v>45949</v>
      </c>
      <c r="C306" s="1" t="s">
        <v>66</v>
      </c>
      <c r="D306" s="1">
        <v>43</v>
      </c>
      <c r="E306" s="8" t="s">
        <v>78</v>
      </c>
      <c r="F306" t="s">
        <v>19</v>
      </c>
      <c r="G306" s="1" t="s">
        <v>37</v>
      </c>
      <c r="H306" t="s">
        <v>62</v>
      </c>
      <c r="I306" s="1" t="s">
        <v>43</v>
      </c>
      <c r="J306" s="1" t="s">
        <v>50</v>
      </c>
      <c r="K306" s="1">
        <v>1</v>
      </c>
      <c r="L306" t="s">
        <v>54</v>
      </c>
      <c r="M306" t="s">
        <v>56</v>
      </c>
      <c r="N306" t="s">
        <v>58</v>
      </c>
      <c r="O306" s="1">
        <v>9</v>
      </c>
      <c r="P306" s="1" t="s">
        <v>60</v>
      </c>
      <c r="Q306" s="10">
        <v>0.95</v>
      </c>
    </row>
    <row r="307" spans="1:17" x14ac:dyDescent="0.35">
      <c r="A307" t="str">
        <f t="shared" si="4"/>
        <v>NOI000306</v>
      </c>
      <c r="B307" s="6">
        <v>45894</v>
      </c>
      <c r="C307" s="1" t="s">
        <v>74</v>
      </c>
      <c r="D307" s="1">
        <v>35</v>
      </c>
      <c r="E307" s="8" t="s">
        <v>79</v>
      </c>
      <c r="F307" t="s">
        <v>30</v>
      </c>
      <c r="G307" s="1" t="s">
        <v>37</v>
      </c>
      <c r="H307" t="s">
        <v>62</v>
      </c>
      <c r="I307" s="1" t="s">
        <v>49</v>
      </c>
      <c r="J307" s="1" t="s">
        <v>51</v>
      </c>
      <c r="K307" s="1">
        <v>1</v>
      </c>
      <c r="L307" t="s">
        <v>54</v>
      </c>
      <c r="M307" t="s">
        <v>56</v>
      </c>
      <c r="N307" t="s">
        <v>58</v>
      </c>
      <c r="O307" s="1">
        <v>6</v>
      </c>
      <c r="P307" s="1" t="s">
        <v>60</v>
      </c>
      <c r="Q307" s="10">
        <v>0.94</v>
      </c>
    </row>
    <row r="308" spans="1:17" x14ac:dyDescent="0.35">
      <c r="A308" t="str">
        <f t="shared" si="4"/>
        <v>NOI000307</v>
      </c>
      <c r="B308" s="6">
        <v>45749</v>
      </c>
      <c r="C308" s="1" t="s">
        <v>68</v>
      </c>
      <c r="D308" s="1">
        <v>14</v>
      </c>
      <c r="E308" s="8" t="s">
        <v>76</v>
      </c>
      <c r="F308" t="s">
        <v>32</v>
      </c>
      <c r="G308" s="1" t="s">
        <v>39</v>
      </c>
      <c r="H308" t="s">
        <v>63</v>
      </c>
      <c r="I308" s="1" t="s">
        <v>48</v>
      </c>
      <c r="J308" s="1" t="s">
        <v>50</v>
      </c>
      <c r="K308" s="1">
        <v>1</v>
      </c>
      <c r="L308" t="s">
        <v>53</v>
      </c>
      <c r="M308" t="s">
        <v>56</v>
      </c>
      <c r="N308" t="s">
        <v>58</v>
      </c>
      <c r="O308" s="1">
        <v>10</v>
      </c>
      <c r="P308" s="1" t="s">
        <v>60</v>
      </c>
      <c r="Q308" s="10">
        <v>0.99</v>
      </c>
    </row>
    <row r="309" spans="1:17" x14ac:dyDescent="0.35">
      <c r="A309" t="str">
        <f t="shared" si="4"/>
        <v>NOI000308</v>
      </c>
      <c r="B309" s="6">
        <v>45911</v>
      </c>
      <c r="C309" s="1" t="s">
        <v>72</v>
      </c>
      <c r="D309" s="1">
        <v>37</v>
      </c>
      <c r="E309" s="8" t="s">
        <v>79</v>
      </c>
      <c r="F309" t="s">
        <v>30</v>
      </c>
      <c r="G309" s="1" t="s">
        <v>37</v>
      </c>
      <c r="H309" t="s">
        <v>63</v>
      </c>
      <c r="I309" s="1" t="s">
        <v>48</v>
      </c>
      <c r="J309" s="1" t="s">
        <v>51</v>
      </c>
      <c r="K309" s="1">
        <v>1</v>
      </c>
      <c r="L309" t="s">
        <v>54</v>
      </c>
      <c r="M309" t="s">
        <v>56</v>
      </c>
      <c r="N309" t="s">
        <v>58</v>
      </c>
      <c r="O309" s="1">
        <v>7</v>
      </c>
      <c r="P309" s="1" t="s">
        <v>61</v>
      </c>
      <c r="Q309" s="10">
        <v>0.95</v>
      </c>
    </row>
    <row r="310" spans="1:17" x14ac:dyDescent="0.35">
      <c r="A310" t="str">
        <f t="shared" si="4"/>
        <v>NOI000309</v>
      </c>
      <c r="B310" s="6">
        <v>45783</v>
      </c>
      <c r="C310" s="1" t="s">
        <v>69</v>
      </c>
      <c r="D310" s="1">
        <v>19</v>
      </c>
      <c r="E310" s="8" t="s">
        <v>76</v>
      </c>
      <c r="F310" t="s">
        <v>24</v>
      </c>
      <c r="G310" s="1" t="s">
        <v>38</v>
      </c>
      <c r="H310" t="s">
        <v>63</v>
      </c>
      <c r="I310" s="1" t="s">
        <v>44</v>
      </c>
      <c r="J310" s="1" t="s">
        <v>51</v>
      </c>
      <c r="K310" s="1">
        <v>1</v>
      </c>
      <c r="L310" t="s">
        <v>53</v>
      </c>
      <c r="M310" t="s">
        <v>56</v>
      </c>
      <c r="N310" t="s">
        <v>59</v>
      </c>
      <c r="O310" s="1">
        <v>7</v>
      </c>
      <c r="P310" s="1" t="s">
        <v>61</v>
      </c>
      <c r="Q310" s="10">
        <v>0.98</v>
      </c>
    </row>
    <row r="311" spans="1:17" x14ac:dyDescent="0.35">
      <c r="A311" t="str">
        <f t="shared" si="4"/>
        <v>NOI000310</v>
      </c>
      <c r="B311" s="6">
        <v>45791</v>
      </c>
      <c r="C311" s="1" t="s">
        <v>69</v>
      </c>
      <c r="D311" s="1">
        <v>20</v>
      </c>
      <c r="E311" s="8" t="s">
        <v>76</v>
      </c>
      <c r="F311" t="s">
        <v>29</v>
      </c>
      <c r="G311" s="1" t="s">
        <v>37</v>
      </c>
      <c r="H311" t="s">
        <v>62</v>
      </c>
      <c r="I311" s="1" t="s">
        <v>42</v>
      </c>
      <c r="J311" s="1" t="s">
        <v>51</v>
      </c>
      <c r="K311" s="1">
        <v>1</v>
      </c>
      <c r="L311" t="s">
        <v>53</v>
      </c>
      <c r="M311" t="s">
        <v>56</v>
      </c>
      <c r="N311" t="s">
        <v>58</v>
      </c>
      <c r="O311" s="1">
        <v>6</v>
      </c>
      <c r="P311" s="1" t="s">
        <v>60</v>
      </c>
      <c r="Q311" s="10">
        <v>0.95</v>
      </c>
    </row>
    <row r="312" spans="1:17" x14ac:dyDescent="0.35">
      <c r="A312" t="str">
        <f t="shared" si="4"/>
        <v>NOI000311</v>
      </c>
      <c r="B312" s="6">
        <v>45909</v>
      </c>
      <c r="C312" s="1" t="s">
        <v>72</v>
      </c>
      <c r="D312" s="1">
        <v>37</v>
      </c>
      <c r="E312" s="8" t="s">
        <v>79</v>
      </c>
      <c r="F312" t="s">
        <v>24</v>
      </c>
      <c r="G312" s="1" t="s">
        <v>37</v>
      </c>
      <c r="H312" t="s">
        <v>62</v>
      </c>
      <c r="I312" s="1" t="s">
        <v>43</v>
      </c>
      <c r="J312" s="1" t="s">
        <v>51</v>
      </c>
      <c r="K312" s="1">
        <v>1</v>
      </c>
      <c r="L312" t="s">
        <v>54</v>
      </c>
      <c r="M312" t="s">
        <v>56</v>
      </c>
      <c r="N312" t="s">
        <v>58</v>
      </c>
      <c r="O312" s="1">
        <v>7</v>
      </c>
      <c r="P312" s="1" t="s">
        <v>61</v>
      </c>
      <c r="Q312" s="10">
        <v>0.94</v>
      </c>
    </row>
    <row r="313" spans="1:17" x14ac:dyDescent="0.35">
      <c r="A313" t="str">
        <f t="shared" si="4"/>
        <v>NOI000312</v>
      </c>
      <c r="B313" s="6">
        <v>45874</v>
      </c>
      <c r="C313" s="1" t="s">
        <v>74</v>
      </c>
      <c r="D313" s="1">
        <v>32</v>
      </c>
      <c r="E313" s="8" t="s">
        <v>79</v>
      </c>
      <c r="F313" t="s">
        <v>19</v>
      </c>
      <c r="G313" s="1" t="s">
        <v>39</v>
      </c>
      <c r="H313" t="s">
        <v>62</v>
      </c>
      <c r="I313" s="1" t="s">
        <v>48</v>
      </c>
      <c r="J313" s="1" t="s">
        <v>50</v>
      </c>
      <c r="K313" s="1">
        <v>1</v>
      </c>
      <c r="L313" t="s">
        <v>54</v>
      </c>
      <c r="M313" t="s">
        <v>56</v>
      </c>
      <c r="N313" t="s">
        <v>58</v>
      </c>
      <c r="O313" s="1">
        <v>6</v>
      </c>
      <c r="P313" s="1" t="s">
        <v>60</v>
      </c>
      <c r="Q313" s="10">
        <v>0.97</v>
      </c>
    </row>
    <row r="314" spans="1:17" x14ac:dyDescent="0.35">
      <c r="A314" t="str">
        <f t="shared" si="4"/>
        <v>NOI000313</v>
      </c>
      <c r="B314" s="6">
        <v>45755</v>
      </c>
      <c r="C314" s="1" t="s">
        <v>68</v>
      </c>
      <c r="D314" s="1">
        <v>15</v>
      </c>
      <c r="E314" s="8" t="s">
        <v>76</v>
      </c>
      <c r="F314" t="s">
        <v>32</v>
      </c>
      <c r="G314" s="1" t="s">
        <v>40</v>
      </c>
      <c r="H314" t="s">
        <v>62</v>
      </c>
      <c r="I314" s="1" t="s">
        <v>47</v>
      </c>
      <c r="J314" s="1" t="s">
        <v>51</v>
      </c>
      <c r="K314" s="1">
        <v>1</v>
      </c>
      <c r="L314" t="s">
        <v>53</v>
      </c>
      <c r="M314" t="s">
        <v>56</v>
      </c>
      <c r="N314" t="s">
        <v>58</v>
      </c>
      <c r="O314" s="1">
        <v>6</v>
      </c>
      <c r="P314" s="1" t="s">
        <v>61</v>
      </c>
      <c r="Q314" s="10">
        <v>0.96</v>
      </c>
    </row>
    <row r="315" spans="1:17" x14ac:dyDescent="0.35">
      <c r="A315" t="str">
        <f t="shared" si="4"/>
        <v>NOI000314</v>
      </c>
      <c r="B315" s="6">
        <v>45924</v>
      </c>
      <c r="C315" s="1" t="s">
        <v>72</v>
      </c>
      <c r="D315" s="1">
        <v>39</v>
      </c>
      <c r="E315" s="8" t="s">
        <v>79</v>
      </c>
      <c r="F315" t="s">
        <v>34</v>
      </c>
      <c r="G315" s="1" t="s">
        <v>38</v>
      </c>
      <c r="H315" t="s">
        <v>62</v>
      </c>
      <c r="I315" s="1" t="s">
        <v>45</v>
      </c>
      <c r="J315" s="1" t="s">
        <v>51</v>
      </c>
      <c r="K315" s="1">
        <v>1</v>
      </c>
      <c r="L315" t="s">
        <v>53</v>
      </c>
      <c r="M315" t="s">
        <v>56</v>
      </c>
      <c r="N315" t="s">
        <v>58</v>
      </c>
      <c r="O315" s="1">
        <v>10</v>
      </c>
      <c r="P315" s="1" t="s">
        <v>61</v>
      </c>
      <c r="Q315" s="10">
        <v>0.97</v>
      </c>
    </row>
    <row r="316" spans="1:17" x14ac:dyDescent="0.35">
      <c r="A316" t="str">
        <f t="shared" si="4"/>
        <v>NOI000315</v>
      </c>
      <c r="B316" s="6">
        <v>45748</v>
      </c>
      <c r="C316" s="1" t="s">
        <v>68</v>
      </c>
      <c r="D316" s="1">
        <v>14</v>
      </c>
      <c r="E316" s="8" t="s">
        <v>76</v>
      </c>
      <c r="F316" t="s">
        <v>22</v>
      </c>
      <c r="G316" s="1" t="s">
        <v>37</v>
      </c>
      <c r="H316" t="s">
        <v>62</v>
      </c>
      <c r="I316" s="1" t="s">
        <v>43</v>
      </c>
      <c r="J316" s="1" t="s">
        <v>50</v>
      </c>
      <c r="K316" s="1">
        <v>1</v>
      </c>
      <c r="L316" t="s">
        <v>54</v>
      </c>
      <c r="M316" t="s">
        <v>56</v>
      </c>
      <c r="N316" t="s">
        <v>58</v>
      </c>
      <c r="O316" s="1">
        <v>8</v>
      </c>
      <c r="P316" s="1" t="s">
        <v>60</v>
      </c>
      <c r="Q316" s="10">
        <v>0.98</v>
      </c>
    </row>
    <row r="317" spans="1:17" x14ac:dyDescent="0.35">
      <c r="A317" t="str">
        <f t="shared" si="4"/>
        <v>NOI000316</v>
      </c>
      <c r="B317" s="6">
        <v>45863</v>
      </c>
      <c r="C317" s="1" t="s">
        <v>70</v>
      </c>
      <c r="D317" s="1">
        <v>30</v>
      </c>
      <c r="E317" s="8" t="s">
        <v>79</v>
      </c>
      <c r="F317" t="s">
        <v>26</v>
      </c>
      <c r="G317" s="1" t="s">
        <v>37</v>
      </c>
      <c r="H317" t="s">
        <v>63</v>
      </c>
      <c r="I317" s="1" t="s">
        <v>47</v>
      </c>
      <c r="J317" s="1" t="s">
        <v>51</v>
      </c>
      <c r="K317" s="1">
        <v>1</v>
      </c>
      <c r="L317" t="s">
        <v>54</v>
      </c>
      <c r="M317" t="s">
        <v>56</v>
      </c>
      <c r="N317" t="s">
        <v>58</v>
      </c>
      <c r="O317" s="1">
        <v>10</v>
      </c>
      <c r="P317" s="1" t="s">
        <v>61</v>
      </c>
      <c r="Q317" s="10">
        <v>0.96</v>
      </c>
    </row>
    <row r="318" spans="1:17" x14ac:dyDescent="0.35">
      <c r="A318" t="str">
        <f t="shared" si="4"/>
        <v>NOI000317</v>
      </c>
      <c r="B318" s="6">
        <v>45878</v>
      </c>
      <c r="C318" s="1" t="s">
        <v>74</v>
      </c>
      <c r="D318" s="1">
        <v>32</v>
      </c>
      <c r="E318" s="8" t="s">
        <v>79</v>
      </c>
      <c r="F318" t="s">
        <v>21</v>
      </c>
      <c r="G318" s="1" t="s">
        <v>41</v>
      </c>
      <c r="H318" t="s">
        <v>62</v>
      </c>
      <c r="I318" s="1" t="s">
        <v>45</v>
      </c>
      <c r="J318" s="1" t="s">
        <v>50</v>
      </c>
      <c r="K318" s="1">
        <v>1</v>
      </c>
      <c r="L318" t="s">
        <v>53</v>
      </c>
      <c r="M318" t="s">
        <v>56</v>
      </c>
      <c r="N318" t="s">
        <v>58</v>
      </c>
      <c r="O318" s="1">
        <v>9</v>
      </c>
      <c r="P318" s="1" t="s">
        <v>60</v>
      </c>
      <c r="Q318" s="10">
        <v>0.98</v>
      </c>
    </row>
    <row r="319" spans="1:17" x14ac:dyDescent="0.35">
      <c r="A319" t="str">
        <f t="shared" si="4"/>
        <v>NOI000318</v>
      </c>
      <c r="B319" s="6">
        <v>45927</v>
      </c>
      <c r="C319" s="1" t="s">
        <v>72</v>
      </c>
      <c r="D319" s="1">
        <v>39</v>
      </c>
      <c r="E319" s="8" t="s">
        <v>79</v>
      </c>
      <c r="F319" t="s">
        <v>18</v>
      </c>
      <c r="G319" s="1" t="s">
        <v>40</v>
      </c>
      <c r="H319" t="s">
        <v>62</v>
      </c>
      <c r="I319" s="1" t="s">
        <v>48</v>
      </c>
      <c r="J319" s="1" t="s">
        <v>51</v>
      </c>
      <c r="K319" s="1">
        <v>1</v>
      </c>
      <c r="L319" t="s">
        <v>53</v>
      </c>
      <c r="M319" t="s">
        <v>56</v>
      </c>
      <c r="N319" t="s">
        <v>58</v>
      </c>
      <c r="O319" s="1">
        <v>6</v>
      </c>
      <c r="P319" s="1" t="s">
        <v>60</v>
      </c>
      <c r="Q319" s="10">
        <v>0.94</v>
      </c>
    </row>
    <row r="320" spans="1:17" x14ac:dyDescent="0.35">
      <c r="A320" t="str">
        <f t="shared" si="4"/>
        <v>NOI000319</v>
      </c>
      <c r="B320" s="6">
        <v>46008</v>
      </c>
      <c r="C320" s="1" t="s">
        <v>71</v>
      </c>
      <c r="D320" s="1">
        <v>51</v>
      </c>
      <c r="E320" s="8" t="s">
        <v>78</v>
      </c>
      <c r="F320" t="s">
        <v>20</v>
      </c>
      <c r="G320" s="1" t="s">
        <v>41</v>
      </c>
      <c r="H320" t="s">
        <v>62</v>
      </c>
      <c r="I320" s="1" t="s">
        <v>42</v>
      </c>
      <c r="J320" s="1" t="s">
        <v>51</v>
      </c>
      <c r="K320" s="1">
        <v>1</v>
      </c>
      <c r="L320" t="s">
        <v>54</v>
      </c>
      <c r="M320" t="s">
        <v>56</v>
      </c>
      <c r="N320" t="s">
        <v>59</v>
      </c>
      <c r="O320" s="1">
        <v>6</v>
      </c>
      <c r="P320" s="1" t="s">
        <v>60</v>
      </c>
      <c r="Q320" s="10">
        <v>0.96</v>
      </c>
    </row>
    <row r="321" spans="1:17" x14ac:dyDescent="0.35">
      <c r="A321" t="str">
        <f t="shared" si="4"/>
        <v>NOI000320</v>
      </c>
      <c r="B321" s="6">
        <v>46013</v>
      </c>
      <c r="C321" s="1" t="s">
        <v>71</v>
      </c>
      <c r="D321" s="1">
        <v>52</v>
      </c>
      <c r="E321" s="8" t="s">
        <v>78</v>
      </c>
      <c r="F321" t="s">
        <v>35</v>
      </c>
      <c r="G321" s="1" t="s">
        <v>38</v>
      </c>
      <c r="H321" t="s">
        <v>62</v>
      </c>
      <c r="I321" s="1" t="s">
        <v>43</v>
      </c>
      <c r="J321" s="1" t="s">
        <v>50</v>
      </c>
      <c r="K321" s="1">
        <v>1</v>
      </c>
      <c r="L321" t="s">
        <v>54</v>
      </c>
      <c r="M321" t="s">
        <v>56</v>
      </c>
      <c r="N321" t="s">
        <v>58</v>
      </c>
      <c r="O321" s="1">
        <v>6</v>
      </c>
      <c r="P321" s="1" t="s">
        <v>60</v>
      </c>
      <c r="Q321" s="10">
        <v>0.99</v>
      </c>
    </row>
    <row r="322" spans="1:17" x14ac:dyDescent="0.35">
      <c r="A322" t="str">
        <f t="shared" ref="A322:A385" si="5">"NOI"&amp;TEXT(ROW()-1,"000000")</f>
        <v>NOI000321</v>
      </c>
      <c r="B322" s="6">
        <v>45938</v>
      </c>
      <c r="C322" s="1" t="s">
        <v>66</v>
      </c>
      <c r="D322" s="1">
        <v>41</v>
      </c>
      <c r="E322" s="8" t="s">
        <v>78</v>
      </c>
      <c r="F322" t="s">
        <v>36</v>
      </c>
      <c r="G322" s="1" t="s">
        <v>40</v>
      </c>
      <c r="H322" t="s">
        <v>62</v>
      </c>
      <c r="I322" s="1" t="s">
        <v>48</v>
      </c>
      <c r="J322" s="1" t="s">
        <v>51</v>
      </c>
      <c r="K322" s="1">
        <v>1</v>
      </c>
      <c r="L322" t="s">
        <v>54</v>
      </c>
      <c r="M322" t="s">
        <v>56</v>
      </c>
      <c r="N322" t="s">
        <v>58</v>
      </c>
      <c r="O322" s="1">
        <v>10</v>
      </c>
      <c r="P322" s="1" t="s">
        <v>60</v>
      </c>
      <c r="Q322" s="10">
        <v>0.98</v>
      </c>
    </row>
    <row r="323" spans="1:17" x14ac:dyDescent="0.35">
      <c r="A323" t="str">
        <f t="shared" si="5"/>
        <v>NOI000322</v>
      </c>
      <c r="B323" s="6">
        <v>45743</v>
      </c>
      <c r="C323" s="1" t="s">
        <v>65</v>
      </c>
      <c r="D323" s="1">
        <v>13</v>
      </c>
      <c r="E323" s="8" t="s">
        <v>77</v>
      </c>
      <c r="F323" t="s">
        <v>36</v>
      </c>
      <c r="G323" s="1" t="s">
        <v>39</v>
      </c>
      <c r="H323" t="s">
        <v>63</v>
      </c>
      <c r="I323" s="1" t="s">
        <v>46</v>
      </c>
      <c r="J323" s="1" t="s">
        <v>51</v>
      </c>
      <c r="K323" s="1">
        <v>1</v>
      </c>
      <c r="L323" t="s">
        <v>53</v>
      </c>
      <c r="M323" t="s">
        <v>56</v>
      </c>
      <c r="N323" t="s">
        <v>58</v>
      </c>
      <c r="O323" s="1">
        <v>10</v>
      </c>
      <c r="P323" s="1" t="s">
        <v>60</v>
      </c>
      <c r="Q323" s="10">
        <v>0.96</v>
      </c>
    </row>
    <row r="324" spans="1:17" x14ac:dyDescent="0.35">
      <c r="A324" t="str">
        <f t="shared" si="5"/>
        <v>NOI000323</v>
      </c>
      <c r="B324" s="6">
        <v>45681</v>
      </c>
      <c r="C324" s="1" t="s">
        <v>67</v>
      </c>
      <c r="D324" s="1">
        <v>4</v>
      </c>
      <c r="E324" s="8" t="s">
        <v>77</v>
      </c>
      <c r="F324" t="s">
        <v>27</v>
      </c>
      <c r="G324" s="1" t="s">
        <v>41</v>
      </c>
      <c r="H324" t="s">
        <v>62</v>
      </c>
      <c r="I324" s="1" t="s">
        <v>43</v>
      </c>
      <c r="J324" s="1" t="s">
        <v>51</v>
      </c>
      <c r="K324" s="1">
        <v>1</v>
      </c>
      <c r="L324" t="s">
        <v>53</v>
      </c>
      <c r="M324" t="s">
        <v>56</v>
      </c>
      <c r="N324" t="s">
        <v>58</v>
      </c>
      <c r="O324" s="1">
        <v>10</v>
      </c>
      <c r="P324" s="1" t="s">
        <v>60</v>
      </c>
      <c r="Q324" s="10">
        <v>0.96</v>
      </c>
    </row>
    <row r="325" spans="1:17" x14ac:dyDescent="0.35">
      <c r="A325" t="str">
        <f t="shared" si="5"/>
        <v>NOI000324</v>
      </c>
      <c r="B325" s="6">
        <v>45895</v>
      </c>
      <c r="C325" s="1" t="s">
        <v>74</v>
      </c>
      <c r="D325" s="1">
        <v>35</v>
      </c>
      <c r="E325" s="8" t="s">
        <v>79</v>
      </c>
      <c r="F325" t="s">
        <v>31</v>
      </c>
      <c r="G325" s="1" t="s">
        <v>41</v>
      </c>
      <c r="H325" t="s">
        <v>62</v>
      </c>
      <c r="I325" s="1" t="s">
        <v>48</v>
      </c>
      <c r="J325" s="1" t="s">
        <v>50</v>
      </c>
      <c r="K325" s="1">
        <v>1</v>
      </c>
      <c r="L325" t="s">
        <v>54</v>
      </c>
      <c r="M325" t="s">
        <v>56</v>
      </c>
      <c r="N325" t="s">
        <v>58</v>
      </c>
      <c r="O325" s="1">
        <v>6</v>
      </c>
      <c r="P325" s="1" t="s">
        <v>60</v>
      </c>
      <c r="Q325" s="10">
        <v>0.98</v>
      </c>
    </row>
    <row r="326" spans="1:17" x14ac:dyDescent="0.35">
      <c r="A326" t="str">
        <f t="shared" si="5"/>
        <v>NOI000325</v>
      </c>
      <c r="B326" s="6">
        <v>45716</v>
      </c>
      <c r="C326" s="1" t="s">
        <v>75</v>
      </c>
      <c r="D326" s="1">
        <v>9</v>
      </c>
      <c r="E326" s="8" t="s">
        <v>77</v>
      </c>
      <c r="F326" t="s">
        <v>18</v>
      </c>
      <c r="G326" s="1" t="s">
        <v>41</v>
      </c>
      <c r="H326" t="s">
        <v>63</v>
      </c>
      <c r="I326" s="1" t="s">
        <v>42</v>
      </c>
      <c r="J326" s="1" t="s">
        <v>51</v>
      </c>
      <c r="K326" s="1">
        <v>1</v>
      </c>
      <c r="L326" t="s">
        <v>53</v>
      </c>
      <c r="M326" t="s">
        <v>56</v>
      </c>
      <c r="N326" t="s">
        <v>58</v>
      </c>
      <c r="O326" s="1">
        <v>8</v>
      </c>
      <c r="P326" s="1" t="s">
        <v>60</v>
      </c>
      <c r="Q326" s="10">
        <v>0.96</v>
      </c>
    </row>
    <row r="327" spans="1:17" x14ac:dyDescent="0.35">
      <c r="A327" t="str">
        <f t="shared" si="5"/>
        <v>NOI000326</v>
      </c>
      <c r="B327" s="6">
        <v>45812</v>
      </c>
      <c r="C327" s="1" t="s">
        <v>64</v>
      </c>
      <c r="D327" s="1">
        <v>23</v>
      </c>
      <c r="E327" s="8" t="s">
        <v>76</v>
      </c>
      <c r="F327" t="s">
        <v>33</v>
      </c>
      <c r="G327" s="1" t="s">
        <v>41</v>
      </c>
      <c r="H327" t="s">
        <v>62</v>
      </c>
      <c r="I327" s="1" t="s">
        <v>49</v>
      </c>
      <c r="J327" s="1" t="s">
        <v>51</v>
      </c>
      <c r="K327" s="1">
        <v>1</v>
      </c>
      <c r="L327" t="s">
        <v>54</v>
      </c>
      <c r="M327" t="s">
        <v>56</v>
      </c>
      <c r="N327" t="s">
        <v>58</v>
      </c>
      <c r="O327" s="1">
        <v>9</v>
      </c>
      <c r="P327" s="1" t="s">
        <v>60</v>
      </c>
      <c r="Q327" s="10">
        <v>0.94</v>
      </c>
    </row>
    <row r="328" spans="1:17" x14ac:dyDescent="0.35">
      <c r="A328" t="str">
        <f t="shared" si="5"/>
        <v>NOI000327</v>
      </c>
      <c r="B328" s="6">
        <v>45749</v>
      </c>
      <c r="C328" s="1" t="s">
        <v>68</v>
      </c>
      <c r="D328" s="1">
        <v>14</v>
      </c>
      <c r="E328" s="8" t="s">
        <v>76</v>
      </c>
      <c r="F328" t="s">
        <v>31</v>
      </c>
      <c r="G328" s="1" t="s">
        <v>38</v>
      </c>
      <c r="H328" t="s">
        <v>62</v>
      </c>
      <c r="I328" s="1" t="s">
        <v>43</v>
      </c>
      <c r="J328" s="1" t="s">
        <v>51</v>
      </c>
      <c r="K328" s="1">
        <v>1</v>
      </c>
      <c r="L328" t="s">
        <v>54</v>
      </c>
      <c r="M328" t="s">
        <v>56</v>
      </c>
      <c r="N328" t="s">
        <v>58</v>
      </c>
      <c r="O328" s="1">
        <v>10</v>
      </c>
      <c r="P328" s="1" t="s">
        <v>60</v>
      </c>
      <c r="Q328" s="10">
        <v>0.94</v>
      </c>
    </row>
    <row r="329" spans="1:17" x14ac:dyDescent="0.35">
      <c r="A329" t="str">
        <f t="shared" si="5"/>
        <v>NOI000328</v>
      </c>
      <c r="B329" s="6">
        <v>45993</v>
      </c>
      <c r="C329" s="1" t="s">
        <v>71</v>
      </c>
      <c r="D329" s="1">
        <v>49</v>
      </c>
      <c r="E329" s="8" t="s">
        <v>78</v>
      </c>
      <c r="F329" t="s">
        <v>26</v>
      </c>
      <c r="G329" s="1" t="s">
        <v>41</v>
      </c>
      <c r="H329" t="s">
        <v>62</v>
      </c>
      <c r="I329" s="1" t="s">
        <v>48</v>
      </c>
      <c r="J329" s="1" t="s">
        <v>51</v>
      </c>
      <c r="K329" s="1">
        <v>1</v>
      </c>
      <c r="L329" t="s">
        <v>54</v>
      </c>
      <c r="M329" t="s">
        <v>56</v>
      </c>
      <c r="N329" t="s">
        <v>58</v>
      </c>
      <c r="O329" s="1">
        <v>8</v>
      </c>
      <c r="P329" s="1" t="s">
        <v>60</v>
      </c>
      <c r="Q329" s="10">
        <v>0.94</v>
      </c>
    </row>
    <row r="330" spans="1:17" x14ac:dyDescent="0.35">
      <c r="A330" t="str">
        <f t="shared" si="5"/>
        <v>NOI000329</v>
      </c>
      <c r="B330" s="6">
        <v>45953</v>
      </c>
      <c r="C330" s="1" t="s">
        <v>66</v>
      </c>
      <c r="D330" s="1">
        <v>43</v>
      </c>
      <c r="E330" s="8" t="s">
        <v>78</v>
      </c>
      <c r="F330" t="s">
        <v>23</v>
      </c>
      <c r="G330" s="1" t="s">
        <v>41</v>
      </c>
      <c r="H330" t="s">
        <v>63</v>
      </c>
      <c r="I330" s="1" t="s">
        <v>44</v>
      </c>
      <c r="J330" s="1" t="s">
        <v>51</v>
      </c>
      <c r="K330" s="1">
        <v>1</v>
      </c>
      <c r="L330" t="s">
        <v>53</v>
      </c>
      <c r="M330" t="s">
        <v>56</v>
      </c>
      <c r="N330" t="s">
        <v>58</v>
      </c>
      <c r="O330" s="1">
        <v>8</v>
      </c>
      <c r="P330" s="1" t="s">
        <v>60</v>
      </c>
      <c r="Q330" s="10">
        <v>0.96</v>
      </c>
    </row>
    <row r="331" spans="1:17" x14ac:dyDescent="0.35">
      <c r="A331" t="str">
        <f t="shared" si="5"/>
        <v>NOI000330</v>
      </c>
      <c r="B331" s="6">
        <v>45796</v>
      </c>
      <c r="C331" s="1" t="s">
        <v>69</v>
      </c>
      <c r="D331" s="1">
        <v>21</v>
      </c>
      <c r="E331" s="8" t="s">
        <v>76</v>
      </c>
      <c r="F331" t="s">
        <v>20</v>
      </c>
      <c r="G331" s="1" t="s">
        <v>40</v>
      </c>
      <c r="H331" t="s">
        <v>62</v>
      </c>
      <c r="I331" s="1" t="s">
        <v>43</v>
      </c>
      <c r="J331" s="1" t="s">
        <v>50</v>
      </c>
      <c r="K331" s="1">
        <v>1</v>
      </c>
      <c r="L331" t="s">
        <v>53</v>
      </c>
      <c r="M331" t="s">
        <v>56</v>
      </c>
      <c r="N331" t="s">
        <v>58</v>
      </c>
      <c r="O331" s="1">
        <v>10</v>
      </c>
      <c r="P331" s="1" t="s">
        <v>60</v>
      </c>
      <c r="Q331" s="10">
        <v>0.99</v>
      </c>
    </row>
    <row r="332" spans="1:17" x14ac:dyDescent="0.35">
      <c r="A332" t="str">
        <f t="shared" si="5"/>
        <v>NOI000331</v>
      </c>
      <c r="B332" s="6">
        <v>45996</v>
      </c>
      <c r="C332" s="1" t="s">
        <v>71</v>
      </c>
      <c r="D332" s="1">
        <v>49</v>
      </c>
      <c r="E332" s="8" t="s">
        <v>78</v>
      </c>
      <c r="F332" t="s">
        <v>25</v>
      </c>
      <c r="G332" s="1" t="s">
        <v>37</v>
      </c>
      <c r="H332" t="s">
        <v>62</v>
      </c>
      <c r="I332" s="1" t="s">
        <v>45</v>
      </c>
      <c r="J332" s="1" t="s">
        <v>51</v>
      </c>
      <c r="K332" s="1">
        <v>1</v>
      </c>
      <c r="L332" t="s">
        <v>53</v>
      </c>
      <c r="M332" t="s">
        <v>56</v>
      </c>
      <c r="N332" t="s">
        <v>58</v>
      </c>
      <c r="O332" s="1">
        <v>6</v>
      </c>
      <c r="P332" s="1" t="s">
        <v>60</v>
      </c>
      <c r="Q332" s="10">
        <v>0.99</v>
      </c>
    </row>
    <row r="333" spans="1:17" x14ac:dyDescent="0.35">
      <c r="A333" t="str">
        <f t="shared" si="5"/>
        <v>NOI000332</v>
      </c>
      <c r="B333" s="6">
        <v>45753</v>
      </c>
      <c r="C333" s="1" t="s">
        <v>68</v>
      </c>
      <c r="D333" s="1">
        <v>15</v>
      </c>
      <c r="E333" s="8" t="s">
        <v>76</v>
      </c>
      <c r="F333" t="s">
        <v>25</v>
      </c>
      <c r="G333" s="1" t="s">
        <v>38</v>
      </c>
      <c r="H333" t="s">
        <v>62</v>
      </c>
      <c r="I333" s="1" t="s">
        <v>45</v>
      </c>
      <c r="J333" s="1" t="s">
        <v>50</v>
      </c>
      <c r="K333" s="1">
        <v>1</v>
      </c>
      <c r="L333" t="s">
        <v>54</v>
      </c>
      <c r="M333" t="s">
        <v>56</v>
      </c>
      <c r="N333" t="s">
        <v>58</v>
      </c>
      <c r="O333" s="1">
        <v>10</v>
      </c>
      <c r="P333" s="1" t="s">
        <v>61</v>
      </c>
      <c r="Q333" s="10">
        <v>0.96</v>
      </c>
    </row>
    <row r="334" spans="1:17" x14ac:dyDescent="0.35">
      <c r="A334" t="str">
        <f t="shared" si="5"/>
        <v>NOI000333</v>
      </c>
      <c r="B334" s="6">
        <v>45775</v>
      </c>
      <c r="C334" s="1" t="s">
        <v>68</v>
      </c>
      <c r="D334" s="1">
        <v>18</v>
      </c>
      <c r="E334" s="8" t="s">
        <v>76</v>
      </c>
      <c r="F334" t="s">
        <v>27</v>
      </c>
      <c r="G334" s="1" t="s">
        <v>38</v>
      </c>
      <c r="H334" t="s">
        <v>62</v>
      </c>
      <c r="I334" s="1" t="s">
        <v>43</v>
      </c>
      <c r="J334" s="1" t="s">
        <v>51</v>
      </c>
      <c r="K334" s="1">
        <v>1</v>
      </c>
      <c r="L334" t="s">
        <v>54</v>
      </c>
      <c r="M334" t="s">
        <v>56</v>
      </c>
      <c r="N334" t="s">
        <v>58</v>
      </c>
      <c r="O334" s="1">
        <v>8</v>
      </c>
      <c r="P334" s="1" t="s">
        <v>60</v>
      </c>
      <c r="Q334" s="10">
        <v>0.99</v>
      </c>
    </row>
    <row r="335" spans="1:17" x14ac:dyDescent="0.35">
      <c r="A335" t="str">
        <f t="shared" si="5"/>
        <v>NOI000334</v>
      </c>
      <c r="B335" s="6">
        <v>45815</v>
      </c>
      <c r="C335" s="1" t="s">
        <v>64</v>
      </c>
      <c r="D335" s="1">
        <v>23</v>
      </c>
      <c r="E335" s="8" t="s">
        <v>76</v>
      </c>
      <c r="F335" t="s">
        <v>34</v>
      </c>
      <c r="G335" s="1" t="s">
        <v>39</v>
      </c>
      <c r="H335" t="s">
        <v>62</v>
      </c>
      <c r="I335" s="1" t="s">
        <v>45</v>
      </c>
      <c r="J335" s="1" t="s">
        <v>50</v>
      </c>
      <c r="K335" s="1">
        <v>1</v>
      </c>
      <c r="L335" t="s">
        <v>53</v>
      </c>
      <c r="M335" t="s">
        <v>56</v>
      </c>
      <c r="N335" t="s">
        <v>58</v>
      </c>
      <c r="O335" s="1">
        <v>8</v>
      </c>
      <c r="P335" s="1" t="s">
        <v>60</v>
      </c>
      <c r="Q335" s="10">
        <v>0.94</v>
      </c>
    </row>
    <row r="336" spans="1:17" x14ac:dyDescent="0.35">
      <c r="A336" t="str">
        <f t="shared" si="5"/>
        <v>NOI000335</v>
      </c>
      <c r="B336" s="6">
        <v>45764</v>
      </c>
      <c r="C336" s="1" t="s">
        <v>68</v>
      </c>
      <c r="D336" s="1">
        <v>16</v>
      </c>
      <c r="E336" s="8" t="s">
        <v>76</v>
      </c>
      <c r="F336" t="s">
        <v>24</v>
      </c>
      <c r="G336" s="1" t="s">
        <v>39</v>
      </c>
      <c r="H336" t="s">
        <v>62</v>
      </c>
      <c r="I336" s="1" t="s">
        <v>49</v>
      </c>
      <c r="J336" s="1" t="s">
        <v>50</v>
      </c>
      <c r="K336" s="1">
        <v>1</v>
      </c>
      <c r="L336" t="s">
        <v>54</v>
      </c>
      <c r="M336" t="s">
        <v>56</v>
      </c>
      <c r="N336" t="s">
        <v>58</v>
      </c>
      <c r="O336" s="1">
        <v>6</v>
      </c>
      <c r="P336" s="1" t="s">
        <v>60</v>
      </c>
      <c r="Q336" s="10">
        <v>0.97</v>
      </c>
    </row>
    <row r="337" spans="1:17" x14ac:dyDescent="0.35">
      <c r="A337" t="str">
        <f t="shared" si="5"/>
        <v>NOI000336</v>
      </c>
      <c r="B337" s="6">
        <v>45985</v>
      </c>
      <c r="C337" s="1" t="s">
        <v>73</v>
      </c>
      <c r="D337" s="1">
        <v>48</v>
      </c>
      <c r="E337" s="8" t="s">
        <v>78</v>
      </c>
      <c r="F337" t="s">
        <v>24</v>
      </c>
      <c r="G337" s="1" t="s">
        <v>39</v>
      </c>
      <c r="H337" t="s">
        <v>62</v>
      </c>
      <c r="I337" s="1" t="s">
        <v>48</v>
      </c>
      <c r="J337" s="1" t="s">
        <v>50</v>
      </c>
      <c r="K337" s="1">
        <v>1</v>
      </c>
      <c r="L337" t="s">
        <v>54</v>
      </c>
      <c r="M337" t="s">
        <v>56</v>
      </c>
      <c r="N337" t="s">
        <v>58</v>
      </c>
      <c r="O337" s="1">
        <v>7</v>
      </c>
      <c r="P337" s="1" t="s">
        <v>60</v>
      </c>
      <c r="Q337" s="10">
        <v>0.95</v>
      </c>
    </row>
    <row r="338" spans="1:17" x14ac:dyDescent="0.35">
      <c r="A338" t="str">
        <f t="shared" si="5"/>
        <v>NOI000337</v>
      </c>
      <c r="B338" s="6">
        <v>46007</v>
      </c>
      <c r="C338" s="1" t="s">
        <v>71</v>
      </c>
      <c r="D338" s="1">
        <v>51</v>
      </c>
      <c r="E338" s="8" t="s">
        <v>78</v>
      </c>
      <c r="F338" t="s">
        <v>25</v>
      </c>
      <c r="G338" s="1" t="s">
        <v>40</v>
      </c>
      <c r="H338" t="s">
        <v>62</v>
      </c>
      <c r="I338" s="1" t="s">
        <v>45</v>
      </c>
      <c r="J338" s="1" t="s">
        <v>50</v>
      </c>
      <c r="K338" s="1">
        <v>1</v>
      </c>
      <c r="L338" t="s">
        <v>53</v>
      </c>
      <c r="M338" t="s">
        <v>56</v>
      </c>
      <c r="N338" t="s">
        <v>58</v>
      </c>
      <c r="O338" s="1">
        <v>8</v>
      </c>
      <c r="P338" s="1" t="s">
        <v>60</v>
      </c>
      <c r="Q338" s="10">
        <v>0.95</v>
      </c>
    </row>
    <row r="339" spans="1:17" x14ac:dyDescent="0.35">
      <c r="A339" t="str">
        <f t="shared" si="5"/>
        <v>NOI000338</v>
      </c>
      <c r="B339" s="6">
        <v>46008</v>
      </c>
      <c r="C339" s="1" t="s">
        <v>71</v>
      </c>
      <c r="D339" s="1">
        <v>51</v>
      </c>
      <c r="E339" s="8" t="s">
        <v>78</v>
      </c>
      <c r="F339" t="s">
        <v>24</v>
      </c>
      <c r="G339" s="1" t="s">
        <v>39</v>
      </c>
      <c r="H339" t="s">
        <v>62</v>
      </c>
      <c r="I339" s="1" t="s">
        <v>47</v>
      </c>
      <c r="J339" s="1" t="s">
        <v>51</v>
      </c>
      <c r="K339" s="1">
        <v>1</v>
      </c>
      <c r="L339" t="s">
        <v>53</v>
      </c>
      <c r="M339" t="s">
        <v>56</v>
      </c>
      <c r="N339" t="s">
        <v>58</v>
      </c>
      <c r="O339" s="1">
        <v>7</v>
      </c>
      <c r="P339" s="1" t="s">
        <v>60</v>
      </c>
      <c r="Q339" s="10">
        <v>0.98</v>
      </c>
    </row>
    <row r="340" spans="1:17" x14ac:dyDescent="0.35">
      <c r="A340" t="str">
        <f t="shared" si="5"/>
        <v>NOI000339</v>
      </c>
      <c r="B340" s="6">
        <v>45701</v>
      </c>
      <c r="C340" s="1" t="s">
        <v>75</v>
      </c>
      <c r="D340" s="1">
        <v>7</v>
      </c>
      <c r="E340" s="8" t="s">
        <v>77</v>
      </c>
      <c r="F340" t="s">
        <v>24</v>
      </c>
      <c r="G340" s="1" t="s">
        <v>39</v>
      </c>
      <c r="H340" t="s">
        <v>63</v>
      </c>
      <c r="I340" s="1" t="s">
        <v>46</v>
      </c>
      <c r="J340" s="1" t="s">
        <v>50</v>
      </c>
      <c r="K340" s="1">
        <v>1</v>
      </c>
      <c r="L340" t="s">
        <v>53</v>
      </c>
      <c r="M340" t="s">
        <v>56</v>
      </c>
      <c r="N340" t="s">
        <v>58</v>
      </c>
      <c r="O340" s="1">
        <v>7</v>
      </c>
      <c r="P340" s="1" t="s">
        <v>61</v>
      </c>
      <c r="Q340" s="10">
        <v>0.96</v>
      </c>
    </row>
    <row r="341" spans="1:17" x14ac:dyDescent="0.35">
      <c r="A341" t="str">
        <f t="shared" si="5"/>
        <v>NOI000340</v>
      </c>
      <c r="B341" s="6">
        <v>45794</v>
      </c>
      <c r="C341" s="1" t="s">
        <v>69</v>
      </c>
      <c r="D341" s="1">
        <v>20</v>
      </c>
      <c r="E341" s="8" t="s">
        <v>76</v>
      </c>
      <c r="F341" t="s">
        <v>25</v>
      </c>
      <c r="G341" s="1" t="s">
        <v>39</v>
      </c>
      <c r="H341" t="s">
        <v>62</v>
      </c>
      <c r="I341" s="1" t="s">
        <v>44</v>
      </c>
      <c r="J341" s="1" t="s">
        <v>51</v>
      </c>
      <c r="K341" s="1">
        <v>1</v>
      </c>
      <c r="L341" t="s">
        <v>53</v>
      </c>
      <c r="M341" t="s">
        <v>56</v>
      </c>
      <c r="N341" t="s">
        <v>58</v>
      </c>
      <c r="O341" s="1">
        <v>10</v>
      </c>
      <c r="P341" s="1" t="s">
        <v>60</v>
      </c>
      <c r="Q341" s="10">
        <v>0.97</v>
      </c>
    </row>
    <row r="342" spans="1:17" x14ac:dyDescent="0.35">
      <c r="A342" t="str">
        <f t="shared" si="5"/>
        <v>NOI000341</v>
      </c>
      <c r="B342" s="6">
        <v>45897</v>
      </c>
      <c r="C342" s="1" t="s">
        <v>74</v>
      </c>
      <c r="D342" s="1">
        <v>35</v>
      </c>
      <c r="E342" s="8" t="s">
        <v>79</v>
      </c>
      <c r="F342" t="s">
        <v>33</v>
      </c>
      <c r="G342" s="1" t="s">
        <v>39</v>
      </c>
      <c r="H342" t="s">
        <v>62</v>
      </c>
      <c r="I342" s="1" t="s">
        <v>49</v>
      </c>
      <c r="J342" s="1" t="s">
        <v>51</v>
      </c>
      <c r="K342" s="1">
        <v>1</v>
      </c>
      <c r="L342" t="s">
        <v>54</v>
      </c>
      <c r="M342" t="s">
        <v>56</v>
      </c>
      <c r="N342" t="s">
        <v>58</v>
      </c>
      <c r="O342" s="1">
        <v>7</v>
      </c>
      <c r="P342" s="1" t="s">
        <v>60</v>
      </c>
      <c r="Q342" s="10">
        <v>0.96</v>
      </c>
    </row>
    <row r="343" spans="1:17" x14ac:dyDescent="0.35">
      <c r="A343" t="str">
        <f t="shared" si="5"/>
        <v>NOI000342</v>
      </c>
      <c r="B343" s="6">
        <v>45797</v>
      </c>
      <c r="C343" s="1" t="s">
        <v>69</v>
      </c>
      <c r="D343" s="1">
        <v>21</v>
      </c>
      <c r="E343" s="8" t="s">
        <v>76</v>
      </c>
      <c r="F343" t="s">
        <v>26</v>
      </c>
      <c r="G343" s="1" t="s">
        <v>39</v>
      </c>
      <c r="H343" t="s">
        <v>63</v>
      </c>
      <c r="I343" s="1" t="s">
        <v>44</v>
      </c>
      <c r="J343" s="1" t="s">
        <v>51</v>
      </c>
      <c r="K343" s="1">
        <v>1</v>
      </c>
      <c r="L343" t="s">
        <v>53</v>
      </c>
      <c r="M343" t="s">
        <v>56</v>
      </c>
      <c r="N343" t="s">
        <v>58</v>
      </c>
      <c r="O343" s="1">
        <v>10</v>
      </c>
      <c r="P343" s="1" t="s">
        <v>61</v>
      </c>
      <c r="Q343" s="10">
        <v>0.96</v>
      </c>
    </row>
    <row r="344" spans="1:17" x14ac:dyDescent="0.35">
      <c r="A344" t="str">
        <f t="shared" si="5"/>
        <v>NOI000343</v>
      </c>
      <c r="B344" s="6">
        <v>45792</v>
      </c>
      <c r="C344" s="1" t="s">
        <v>69</v>
      </c>
      <c r="D344" s="1">
        <v>20</v>
      </c>
      <c r="E344" s="8" t="s">
        <v>76</v>
      </c>
      <c r="F344" t="s">
        <v>27</v>
      </c>
      <c r="G344" s="1" t="s">
        <v>41</v>
      </c>
      <c r="H344" t="s">
        <v>62</v>
      </c>
      <c r="I344" s="1" t="s">
        <v>44</v>
      </c>
      <c r="J344" s="1" t="s">
        <v>50</v>
      </c>
      <c r="K344" s="1">
        <v>1</v>
      </c>
      <c r="L344" t="s">
        <v>54</v>
      </c>
      <c r="M344" t="s">
        <v>56</v>
      </c>
      <c r="N344" t="s">
        <v>58</v>
      </c>
      <c r="O344" s="1">
        <v>6</v>
      </c>
      <c r="P344" s="1" t="s">
        <v>60</v>
      </c>
      <c r="Q344" s="10">
        <v>0.97</v>
      </c>
    </row>
    <row r="345" spans="1:17" x14ac:dyDescent="0.35">
      <c r="A345" t="str">
        <f t="shared" si="5"/>
        <v>NOI000344</v>
      </c>
      <c r="B345" s="6">
        <v>45852</v>
      </c>
      <c r="C345" s="1" t="s">
        <v>70</v>
      </c>
      <c r="D345" s="1">
        <v>29</v>
      </c>
      <c r="E345" s="8" t="s">
        <v>79</v>
      </c>
      <c r="F345" t="s">
        <v>29</v>
      </c>
      <c r="G345" s="1" t="s">
        <v>38</v>
      </c>
      <c r="H345" t="s">
        <v>62</v>
      </c>
      <c r="I345" s="1" t="s">
        <v>42</v>
      </c>
      <c r="J345" s="1" t="s">
        <v>51</v>
      </c>
      <c r="K345" s="1">
        <v>1</v>
      </c>
      <c r="L345" t="s">
        <v>53</v>
      </c>
      <c r="M345" t="s">
        <v>56</v>
      </c>
      <c r="N345" t="s">
        <v>58</v>
      </c>
      <c r="O345" s="1">
        <v>10</v>
      </c>
      <c r="P345" s="1" t="s">
        <v>60</v>
      </c>
      <c r="Q345" s="10">
        <v>0.99</v>
      </c>
    </row>
    <row r="346" spans="1:17" x14ac:dyDescent="0.35">
      <c r="A346" t="str">
        <f t="shared" si="5"/>
        <v>NOI000345</v>
      </c>
      <c r="B346" s="6">
        <v>45822</v>
      </c>
      <c r="C346" s="1" t="s">
        <v>64</v>
      </c>
      <c r="D346" s="1">
        <v>24</v>
      </c>
      <c r="E346" s="8" t="s">
        <v>76</v>
      </c>
      <c r="F346" t="s">
        <v>21</v>
      </c>
      <c r="G346" s="1" t="s">
        <v>41</v>
      </c>
      <c r="H346" t="s">
        <v>62</v>
      </c>
      <c r="I346" s="1" t="s">
        <v>42</v>
      </c>
      <c r="J346" s="1" t="s">
        <v>50</v>
      </c>
      <c r="K346" s="1">
        <v>1</v>
      </c>
      <c r="L346" t="s">
        <v>54</v>
      </c>
      <c r="M346" t="s">
        <v>57</v>
      </c>
      <c r="N346" t="s">
        <v>58</v>
      </c>
      <c r="O346" s="1">
        <v>9</v>
      </c>
      <c r="P346" s="1" t="s">
        <v>60</v>
      </c>
      <c r="Q346" s="10">
        <v>0.99</v>
      </c>
    </row>
    <row r="347" spans="1:17" x14ac:dyDescent="0.35">
      <c r="A347" t="str">
        <f t="shared" si="5"/>
        <v>NOI000346</v>
      </c>
      <c r="B347" s="6">
        <v>45793</v>
      </c>
      <c r="C347" s="1" t="s">
        <v>69</v>
      </c>
      <c r="D347" s="1">
        <v>20</v>
      </c>
      <c r="E347" s="8" t="s">
        <v>76</v>
      </c>
      <c r="F347" t="s">
        <v>34</v>
      </c>
      <c r="G347" s="1" t="s">
        <v>39</v>
      </c>
      <c r="H347" t="s">
        <v>62</v>
      </c>
      <c r="I347" s="1" t="s">
        <v>47</v>
      </c>
      <c r="J347" s="1" t="s">
        <v>51</v>
      </c>
      <c r="K347" s="1">
        <v>1</v>
      </c>
      <c r="L347" t="s">
        <v>54</v>
      </c>
      <c r="M347" t="s">
        <v>56</v>
      </c>
      <c r="N347" t="s">
        <v>58</v>
      </c>
      <c r="O347" s="1">
        <v>8</v>
      </c>
      <c r="P347" s="1" t="s">
        <v>61</v>
      </c>
      <c r="Q347" s="10">
        <v>0.96</v>
      </c>
    </row>
    <row r="348" spans="1:17" x14ac:dyDescent="0.35">
      <c r="A348" t="str">
        <f t="shared" si="5"/>
        <v>NOI000347</v>
      </c>
      <c r="B348" s="6">
        <v>45728</v>
      </c>
      <c r="C348" s="1" t="s">
        <v>65</v>
      </c>
      <c r="D348" s="1">
        <v>11</v>
      </c>
      <c r="E348" s="8" t="s">
        <v>77</v>
      </c>
      <c r="F348" t="s">
        <v>26</v>
      </c>
      <c r="G348" s="1" t="s">
        <v>40</v>
      </c>
      <c r="H348" t="s">
        <v>62</v>
      </c>
      <c r="I348" s="1" t="s">
        <v>49</v>
      </c>
      <c r="J348" s="1" t="s">
        <v>51</v>
      </c>
      <c r="K348" s="1">
        <v>1</v>
      </c>
      <c r="L348" t="s">
        <v>54</v>
      </c>
      <c r="M348" t="s">
        <v>56</v>
      </c>
      <c r="N348" t="s">
        <v>58</v>
      </c>
      <c r="O348" s="1">
        <v>9</v>
      </c>
      <c r="P348" s="1" t="s">
        <v>60</v>
      </c>
      <c r="Q348" s="10">
        <v>0.94</v>
      </c>
    </row>
    <row r="349" spans="1:17" x14ac:dyDescent="0.35">
      <c r="A349" t="str">
        <f t="shared" si="5"/>
        <v>NOI000348</v>
      </c>
      <c r="B349" s="6">
        <v>45907</v>
      </c>
      <c r="C349" s="1" t="s">
        <v>72</v>
      </c>
      <c r="D349" s="1">
        <v>37</v>
      </c>
      <c r="E349" s="8" t="s">
        <v>79</v>
      </c>
      <c r="F349" t="s">
        <v>35</v>
      </c>
      <c r="G349" s="1" t="s">
        <v>38</v>
      </c>
      <c r="H349" t="s">
        <v>62</v>
      </c>
      <c r="I349" s="1" t="s">
        <v>42</v>
      </c>
      <c r="J349" s="1" t="s">
        <v>51</v>
      </c>
      <c r="K349" s="1">
        <v>1</v>
      </c>
      <c r="L349" t="s">
        <v>54</v>
      </c>
      <c r="M349" t="s">
        <v>56</v>
      </c>
      <c r="N349" t="s">
        <v>58</v>
      </c>
      <c r="O349" s="1">
        <v>7</v>
      </c>
      <c r="P349" s="1" t="s">
        <v>60</v>
      </c>
      <c r="Q349" s="10">
        <v>0.97</v>
      </c>
    </row>
    <row r="350" spans="1:17" x14ac:dyDescent="0.35">
      <c r="A350" t="str">
        <f t="shared" si="5"/>
        <v>NOI000349</v>
      </c>
      <c r="B350" s="6">
        <v>45674</v>
      </c>
      <c r="C350" s="1" t="s">
        <v>67</v>
      </c>
      <c r="D350" s="1">
        <v>3</v>
      </c>
      <c r="E350" s="8" t="s">
        <v>77</v>
      </c>
      <c r="F350" t="s">
        <v>25</v>
      </c>
      <c r="G350" s="1" t="s">
        <v>38</v>
      </c>
      <c r="H350" t="s">
        <v>62</v>
      </c>
      <c r="I350" s="1" t="s">
        <v>44</v>
      </c>
      <c r="J350" s="1" t="s">
        <v>50</v>
      </c>
      <c r="K350" s="1">
        <v>1</v>
      </c>
      <c r="L350" t="s">
        <v>54</v>
      </c>
      <c r="M350" t="s">
        <v>56</v>
      </c>
      <c r="N350" t="s">
        <v>58</v>
      </c>
      <c r="O350" s="1">
        <v>10</v>
      </c>
      <c r="P350" s="1" t="s">
        <v>60</v>
      </c>
      <c r="Q350" s="10">
        <v>0.94</v>
      </c>
    </row>
    <row r="351" spans="1:17" x14ac:dyDescent="0.35">
      <c r="A351" t="str">
        <f t="shared" si="5"/>
        <v>NOI000350</v>
      </c>
      <c r="B351" s="6">
        <v>45710</v>
      </c>
      <c r="C351" s="1" t="s">
        <v>75</v>
      </c>
      <c r="D351" s="1">
        <v>8</v>
      </c>
      <c r="E351" s="8" t="s">
        <v>77</v>
      </c>
      <c r="F351" t="s">
        <v>25</v>
      </c>
      <c r="G351" s="1" t="s">
        <v>41</v>
      </c>
      <c r="H351" t="s">
        <v>63</v>
      </c>
      <c r="I351" s="1" t="s">
        <v>42</v>
      </c>
      <c r="J351" s="1" t="s">
        <v>51</v>
      </c>
      <c r="K351" s="1">
        <v>1</v>
      </c>
      <c r="L351" t="s">
        <v>54</v>
      </c>
      <c r="M351" t="s">
        <v>56</v>
      </c>
      <c r="N351" t="s">
        <v>58</v>
      </c>
      <c r="O351" s="1">
        <v>8</v>
      </c>
      <c r="P351" s="1" t="s">
        <v>60</v>
      </c>
      <c r="Q351" s="10">
        <v>0.98</v>
      </c>
    </row>
    <row r="352" spans="1:17" x14ac:dyDescent="0.35">
      <c r="A352" t="str">
        <f t="shared" si="5"/>
        <v>NOI000351</v>
      </c>
      <c r="B352" s="6">
        <v>45933</v>
      </c>
      <c r="C352" s="1" t="s">
        <v>66</v>
      </c>
      <c r="D352" s="1">
        <v>40</v>
      </c>
      <c r="E352" s="8" t="s">
        <v>78</v>
      </c>
      <c r="F352" t="s">
        <v>17</v>
      </c>
      <c r="G352" s="1" t="s">
        <v>37</v>
      </c>
      <c r="H352" t="s">
        <v>63</v>
      </c>
      <c r="I352" s="1" t="s">
        <v>43</v>
      </c>
      <c r="J352" s="1" t="s">
        <v>50</v>
      </c>
      <c r="K352" s="1">
        <v>1</v>
      </c>
      <c r="L352" t="s">
        <v>53</v>
      </c>
      <c r="M352" t="s">
        <v>56</v>
      </c>
      <c r="N352" t="s">
        <v>58</v>
      </c>
      <c r="O352" s="1">
        <v>10</v>
      </c>
      <c r="P352" s="1" t="s">
        <v>60</v>
      </c>
      <c r="Q352" s="10">
        <v>0.97</v>
      </c>
    </row>
    <row r="353" spans="1:17" x14ac:dyDescent="0.35">
      <c r="A353" t="str">
        <f t="shared" si="5"/>
        <v>NOI000352</v>
      </c>
      <c r="B353" s="6">
        <v>45851</v>
      </c>
      <c r="C353" s="1" t="s">
        <v>70</v>
      </c>
      <c r="D353" s="1">
        <v>29</v>
      </c>
      <c r="E353" s="8" t="s">
        <v>79</v>
      </c>
      <c r="F353" t="s">
        <v>21</v>
      </c>
      <c r="G353" s="1" t="s">
        <v>38</v>
      </c>
      <c r="H353" t="s">
        <v>63</v>
      </c>
      <c r="I353" s="1" t="s">
        <v>48</v>
      </c>
      <c r="J353" s="1" t="s">
        <v>51</v>
      </c>
      <c r="K353" s="1">
        <v>1</v>
      </c>
      <c r="L353" t="s">
        <v>53</v>
      </c>
      <c r="M353" t="s">
        <v>56</v>
      </c>
      <c r="N353" t="s">
        <v>58</v>
      </c>
      <c r="O353" s="1">
        <v>8</v>
      </c>
      <c r="P353" s="1" t="s">
        <v>60</v>
      </c>
      <c r="Q353" s="10">
        <v>0.95</v>
      </c>
    </row>
    <row r="354" spans="1:17" x14ac:dyDescent="0.35">
      <c r="A354" t="str">
        <f t="shared" si="5"/>
        <v>NOI000353</v>
      </c>
      <c r="B354" s="6">
        <v>45762</v>
      </c>
      <c r="C354" s="1" t="s">
        <v>68</v>
      </c>
      <c r="D354" s="1">
        <v>16</v>
      </c>
      <c r="E354" s="8" t="s">
        <v>76</v>
      </c>
      <c r="F354" t="s">
        <v>26</v>
      </c>
      <c r="G354" s="1" t="s">
        <v>40</v>
      </c>
      <c r="H354" t="s">
        <v>62</v>
      </c>
      <c r="I354" s="1" t="s">
        <v>44</v>
      </c>
      <c r="J354" s="1" t="s">
        <v>51</v>
      </c>
      <c r="K354" s="1">
        <v>1</v>
      </c>
      <c r="L354" t="s">
        <v>54</v>
      </c>
      <c r="M354" t="s">
        <v>56</v>
      </c>
      <c r="N354" t="s">
        <v>58</v>
      </c>
      <c r="O354" s="1">
        <v>8</v>
      </c>
      <c r="P354" s="1" t="s">
        <v>60</v>
      </c>
      <c r="Q354" s="10">
        <v>0.99</v>
      </c>
    </row>
    <row r="355" spans="1:17" x14ac:dyDescent="0.35">
      <c r="A355" t="str">
        <f t="shared" si="5"/>
        <v>NOI000354</v>
      </c>
      <c r="B355" s="6">
        <v>45940</v>
      </c>
      <c r="C355" s="1" t="s">
        <v>66</v>
      </c>
      <c r="D355" s="1">
        <v>41</v>
      </c>
      <c r="E355" s="8" t="s">
        <v>78</v>
      </c>
      <c r="F355" t="s">
        <v>34</v>
      </c>
      <c r="G355" s="1" t="s">
        <v>37</v>
      </c>
      <c r="H355" t="s">
        <v>63</v>
      </c>
      <c r="I355" s="1" t="s">
        <v>45</v>
      </c>
      <c r="J355" s="1" t="s">
        <v>51</v>
      </c>
      <c r="K355" s="1">
        <v>1</v>
      </c>
      <c r="L355" t="s">
        <v>54</v>
      </c>
      <c r="M355" t="s">
        <v>56</v>
      </c>
      <c r="N355" t="s">
        <v>58</v>
      </c>
      <c r="O355" s="1">
        <v>7</v>
      </c>
      <c r="P355" s="1" t="s">
        <v>60</v>
      </c>
      <c r="Q355" s="10">
        <v>0.96</v>
      </c>
    </row>
    <row r="356" spans="1:17" x14ac:dyDescent="0.35">
      <c r="A356" t="str">
        <f t="shared" si="5"/>
        <v>NOI000355</v>
      </c>
      <c r="B356" s="6">
        <v>45667</v>
      </c>
      <c r="C356" s="1" t="s">
        <v>67</v>
      </c>
      <c r="D356" s="1">
        <v>2</v>
      </c>
      <c r="E356" s="8" t="s">
        <v>77</v>
      </c>
      <c r="F356" t="s">
        <v>17</v>
      </c>
      <c r="G356" s="1" t="s">
        <v>40</v>
      </c>
      <c r="H356" t="s">
        <v>62</v>
      </c>
      <c r="I356" s="1" t="s">
        <v>46</v>
      </c>
      <c r="J356" s="1" t="s">
        <v>50</v>
      </c>
      <c r="K356" s="1">
        <v>1</v>
      </c>
      <c r="L356" t="s">
        <v>53</v>
      </c>
      <c r="M356" t="s">
        <v>56</v>
      </c>
      <c r="N356" t="s">
        <v>58</v>
      </c>
      <c r="O356" s="1">
        <v>8</v>
      </c>
      <c r="P356" s="1" t="s">
        <v>60</v>
      </c>
      <c r="Q356" s="10">
        <v>0.95</v>
      </c>
    </row>
    <row r="357" spans="1:17" x14ac:dyDescent="0.35">
      <c r="A357" t="str">
        <f t="shared" si="5"/>
        <v>NOI000356</v>
      </c>
      <c r="B357" s="6">
        <v>45792</v>
      </c>
      <c r="C357" s="1" t="s">
        <v>69</v>
      </c>
      <c r="D357" s="1">
        <v>20</v>
      </c>
      <c r="E357" s="8" t="s">
        <v>76</v>
      </c>
      <c r="F357" t="s">
        <v>35</v>
      </c>
      <c r="G357" s="1" t="s">
        <v>41</v>
      </c>
      <c r="H357" t="s">
        <v>62</v>
      </c>
      <c r="I357" s="1" t="s">
        <v>45</v>
      </c>
      <c r="J357" s="1" t="s">
        <v>51</v>
      </c>
      <c r="K357" s="1">
        <v>1</v>
      </c>
      <c r="L357" t="s">
        <v>54</v>
      </c>
      <c r="M357" t="s">
        <v>56</v>
      </c>
      <c r="N357" t="s">
        <v>58</v>
      </c>
      <c r="O357" s="1">
        <v>7</v>
      </c>
      <c r="P357" s="1" t="s">
        <v>60</v>
      </c>
      <c r="Q357" s="10">
        <v>0.94</v>
      </c>
    </row>
    <row r="358" spans="1:17" x14ac:dyDescent="0.35">
      <c r="A358" t="str">
        <f t="shared" si="5"/>
        <v>NOI000357</v>
      </c>
      <c r="B358" s="6">
        <v>45948</v>
      </c>
      <c r="C358" s="1" t="s">
        <v>66</v>
      </c>
      <c r="D358" s="1">
        <v>42</v>
      </c>
      <c r="E358" s="8" t="s">
        <v>78</v>
      </c>
      <c r="F358" t="s">
        <v>27</v>
      </c>
      <c r="G358" s="1" t="s">
        <v>38</v>
      </c>
      <c r="H358" t="s">
        <v>62</v>
      </c>
      <c r="I358" s="1" t="s">
        <v>49</v>
      </c>
      <c r="J358" s="1" t="s">
        <v>50</v>
      </c>
      <c r="K358" s="1">
        <v>1</v>
      </c>
      <c r="L358" t="s">
        <v>54</v>
      </c>
      <c r="M358" t="s">
        <v>56</v>
      </c>
      <c r="N358" t="s">
        <v>58</v>
      </c>
      <c r="O358" s="1">
        <v>6</v>
      </c>
      <c r="P358" s="1" t="s">
        <v>61</v>
      </c>
      <c r="Q358" s="10">
        <v>0.96</v>
      </c>
    </row>
    <row r="359" spans="1:17" x14ac:dyDescent="0.35">
      <c r="A359" t="str">
        <f t="shared" si="5"/>
        <v>NOI000358</v>
      </c>
      <c r="B359" s="6">
        <v>45699</v>
      </c>
      <c r="C359" s="1" t="s">
        <v>75</v>
      </c>
      <c r="D359" s="1">
        <v>7</v>
      </c>
      <c r="E359" s="8" t="s">
        <v>77</v>
      </c>
      <c r="F359" t="s">
        <v>33</v>
      </c>
      <c r="G359" s="1" t="s">
        <v>41</v>
      </c>
      <c r="H359" t="s">
        <v>62</v>
      </c>
      <c r="I359" s="1" t="s">
        <v>43</v>
      </c>
      <c r="J359" s="1" t="s">
        <v>51</v>
      </c>
      <c r="K359" s="1">
        <v>1</v>
      </c>
      <c r="L359" t="s">
        <v>54</v>
      </c>
      <c r="M359" t="s">
        <v>56</v>
      </c>
      <c r="N359" t="s">
        <v>58</v>
      </c>
      <c r="O359" s="1">
        <v>8</v>
      </c>
      <c r="P359" s="1" t="s">
        <v>61</v>
      </c>
      <c r="Q359" s="10">
        <v>0.98</v>
      </c>
    </row>
    <row r="360" spans="1:17" x14ac:dyDescent="0.35">
      <c r="A360" t="str">
        <f t="shared" si="5"/>
        <v>NOI000359</v>
      </c>
      <c r="B360" s="6">
        <v>45846</v>
      </c>
      <c r="C360" s="1" t="s">
        <v>70</v>
      </c>
      <c r="D360" s="1">
        <v>28</v>
      </c>
      <c r="E360" s="8" t="s">
        <v>79</v>
      </c>
      <c r="F360" t="s">
        <v>22</v>
      </c>
      <c r="G360" s="1" t="s">
        <v>37</v>
      </c>
      <c r="H360" t="s">
        <v>62</v>
      </c>
      <c r="I360" s="1" t="s">
        <v>45</v>
      </c>
      <c r="J360" s="1" t="s">
        <v>50</v>
      </c>
      <c r="K360" s="1">
        <v>1</v>
      </c>
      <c r="L360" t="s">
        <v>54</v>
      </c>
      <c r="M360" t="s">
        <v>56</v>
      </c>
      <c r="N360" t="s">
        <v>58</v>
      </c>
      <c r="O360" s="1">
        <v>6</v>
      </c>
      <c r="P360" s="1" t="s">
        <v>60</v>
      </c>
      <c r="Q360" s="10">
        <v>0.97</v>
      </c>
    </row>
    <row r="361" spans="1:17" x14ac:dyDescent="0.35">
      <c r="A361" t="str">
        <f t="shared" si="5"/>
        <v>NOI000360</v>
      </c>
      <c r="B361" s="6">
        <v>45911</v>
      </c>
      <c r="C361" s="1" t="s">
        <v>72</v>
      </c>
      <c r="D361" s="1">
        <v>37</v>
      </c>
      <c r="E361" s="8" t="s">
        <v>79</v>
      </c>
      <c r="F361" t="s">
        <v>25</v>
      </c>
      <c r="G361" s="1" t="s">
        <v>39</v>
      </c>
      <c r="H361" t="s">
        <v>62</v>
      </c>
      <c r="I361" s="1" t="s">
        <v>42</v>
      </c>
      <c r="J361" s="1" t="s">
        <v>51</v>
      </c>
      <c r="K361" s="1">
        <v>1</v>
      </c>
      <c r="L361" t="s">
        <v>53</v>
      </c>
      <c r="M361" t="s">
        <v>56</v>
      </c>
      <c r="N361" t="s">
        <v>58</v>
      </c>
      <c r="O361" s="1">
        <v>6</v>
      </c>
      <c r="P361" s="1" t="s">
        <v>60</v>
      </c>
      <c r="Q361" s="10">
        <v>0.98</v>
      </c>
    </row>
    <row r="362" spans="1:17" x14ac:dyDescent="0.35">
      <c r="A362" t="str">
        <f t="shared" si="5"/>
        <v>NOI000361</v>
      </c>
      <c r="B362" s="6">
        <v>45866</v>
      </c>
      <c r="C362" s="1" t="s">
        <v>70</v>
      </c>
      <c r="D362" s="1">
        <v>31</v>
      </c>
      <c r="E362" s="8" t="s">
        <v>79</v>
      </c>
      <c r="F362" t="s">
        <v>30</v>
      </c>
      <c r="G362" s="1" t="s">
        <v>41</v>
      </c>
      <c r="H362" t="s">
        <v>62</v>
      </c>
      <c r="I362" s="1" t="s">
        <v>44</v>
      </c>
      <c r="J362" s="1" t="s">
        <v>50</v>
      </c>
      <c r="K362" s="1">
        <v>1</v>
      </c>
      <c r="L362" t="s">
        <v>53</v>
      </c>
      <c r="M362" t="s">
        <v>56</v>
      </c>
      <c r="N362" t="s">
        <v>58</v>
      </c>
      <c r="O362" s="1">
        <v>6</v>
      </c>
      <c r="P362" s="1" t="s">
        <v>60</v>
      </c>
      <c r="Q362" s="10">
        <v>0.95</v>
      </c>
    </row>
    <row r="363" spans="1:17" x14ac:dyDescent="0.35">
      <c r="A363" t="str">
        <f t="shared" si="5"/>
        <v>NOI000362</v>
      </c>
      <c r="B363" s="6">
        <v>45985</v>
      </c>
      <c r="C363" s="1" t="s">
        <v>73</v>
      </c>
      <c r="D363" s="1">
        <v>48</v>
      </c>
      <c r="E363" s="8" t="s">
        <v>78</v>
      </c>
      <c r="F363" t="s">
        <v>30</v>
      </c>
      <c r="G363" s="1" t="s">
        <v>40</v>
      </c>
      <c r="H363" t="s">
        <v>62</v>
      </c>
      <c r="I363" s="1" t="s">
        <v>45</v>
      </c>
      <c r="J363" s="1" t="s">
        <v>51</v>
      </c>
      <c r="K363" s="1">
        <v>1</v>
      </c>
      <c r="L363" t="s">
        <v>54</v>
      </c>
      <c r="M363" t="s">
        <v>56</v>
      </c>
      <c r="N363" t="s">
        <v>58</v>
      </c>
      <c r="O363" s="1">
        <v>9</v>
      </c>
      <c r="P363" s="1" t="s">
        <v>61</v>
      </c>
      <c r="Q363" s="10">
        <v>0.96</v>
      </c>
    </row>
    <row r="364" spans="1:17" x14ac:dyDescent="0.35">
      <c r="A364" t="str">
        <f t="shared" si="5"/>
        <v>NOI000363</v>
      </c>
      <c r="B364" s="6">
        <v>45977</v>
      </c>
      <c r="C364" s="1" t="s">
        <v>73</v>
      </c>
      <c r="D364" s="1">
        <v>47</v>
      </c>
      <c r="E364" s="8" t="s">
        <v>78</v>
      </c>
      <c r="F364" t="s">
        <v>33</v>
      </c>
      <c r="G364" s="1" t="s">
        <v>41</v>
      </c>
      <c r="H364" t="s">
        <v>62</v>
      </c>
      <c r="I364" s="1" t="s">
        <v>48</v>
      </c>
      <c r="J364" s="1" t="s">
        <v>50</v>
      </c>
      <c r="K364" s="1">
        <v>1</v>
      </c>
      <c r="L364" t="s">
        <v>53</v>
      </c>
      <c r="M364" t="s">
        <v>56</v>
      </c>
      <c r="N364" t="s">
        <v>58</v>
      </c>
      <c r="O364" s="1">
        <v>8</v>
      </c>
      <c r="P364" s="1" t="s">
        <v>61</v>
      </c>
      <c r="Q364" s="10">
        <v>0.95</v>
      </c>
    </row>
    <row r="365" spans="1:17" x14ac:dyDescent="0.35">
      <c r="A365" t="str">
        <f t="shared" si="5"/>
        <v>NOI000364</v>
      </c>
      <c r="B365" s="6">
        <v>45875</v>
      </c>
      <c r="C365" s="1" t="s">
        <v>74</v>
      </c>
      <c r="D365" s="1">
        <v>32</v>
      </c>
      <c r="E365" s="8" t="s">
        <v>79</v>
      </c>
      <c r="F365" t="s">
        <v>23</v>
      </c>
      <c r="G365" s="1" t="s">
        <v>38</v>
      </c>
      <c r="H365" t="s">
        <v>63</v>
      </c>
      <c r="I365" s="1" t="s">
        <v>42</v>
      </c>
      <c r="J365" s="1" t="s">
        <v>51</v>
      </c>
      <c r="K365" s="1">
        <v>1</v>
      </c>
      <c r="L365" t="s">
        <v>53</v>
      </c>
      <c r="M365" t="s">
        <v>56</v>
      </c>
      <c r="N365" t="s">
        <v>58</v>
      </c>
      <c r="O365" s="1">
        <v>10</v>
      </c>
      <c r="P365" s="1" t="s">
        <v>60</v>
      </c>
      <c r="Q365" s="10">
        <v>0.94</v>
      </c>
    </row>
    <row r="366" spans="1:17" x14ac:dyDescent="0.35">
      <c r="A366" t="str">
        <f t="shared" si="5"/>
        <v>NOI000365</v>
      </c>
      <c r="B366" s="6">
        <v>46017</v>
      </c>
      <c r="C366" s="1" t="s">
        <v>71</v>
      </c>
      <c r="D366" s="1">
        <v>52</v>
      </c>
      <c r="E366" s="8" t="s">
        <v>78</v>
      </c>
      <c r="F366" t="s">
        <v>34</v>
      </c>
      <c r="G366" s="1" t="s">
        <v>39</v>
      </c>
      <c r="H366" t="s">
        <v>63</v>
      </c>
      <c r="I366" s="1" t="s">
        <v>46</v>
      </c>
      <c r="J366" s="1" t="s">
        <v>50</v>
      </c>
      <c r="K366" s="1">
        <v>1</v>
      </c>
      <c r="L366" t="s">
        <v>54</v>
      </c>
      <c r="M366" t="s">
        <v>56</v>
      </c>
      <c r="N366" t="s">
        <v>58</v>
      </c>
      <c r="O366" s="1">
        <v>8</v>
      </c>
      <c r="P366" s="1" t="s">
        <v>60</v>
      </c>
      <c r="Q366" s="10">
        <v>0.99</v>
      </c>
    </row>
    <row r="367" spans="1:17" x14ac:dyDescent="0.35">
      <c r="A367" t="str">
        <f t="shared" si="5"/>
        <v>NOI000366</v>
      </c>
      <c r="B367" s="6">
        <v>45760</v>
      </c>
      <c r="C367" s="1" t="s">
        <v>68</v>
      </c>
      <c r="D367" s="1">
        <v>16</v>
      </c>
      <c r="E367" s="8" t="s">
        <v>76</v>
      </c>
      <c r="F367" t="s">
        <v>17</v>
      </c>
      <c r="G367" s="1" t="s">
        <v>40</v>
      </c>
      <c r="H367" t="s">
        <v>63</v>
      </c>
      <c r="I367" s="1" t="s">
        <v>43</v>
      </c>
      <c r="J367" s="1" t="s">
        <v>50</v>
      </c>
      <c r="K367" s="1">
        <v>1</v>
      </c>
      <c r="L367" t="s">
        <v>54</v>
      </c>
      <c r="M367" t="s">
        <v>57</v>
      </c>
      <c r="N367" t="s">
        <v>58</v>
      </c>
      <c r="O367" s="1">
        <v>10</v>
      </c>
      <c r="P367" s="1" t="s">
        <v>60</v>
      </c>
      <c r="Q367" s="10">
        <v>0.96</v>
      </c>
    </row>
    <row r="368" spans="1:17" x14ac:dyDescent="0.35">
      <c r="A368" t="str">
        <f t="shared" si="5"/>
        <v>NOI000367</v>
      </c>
      <c r="B368" s="6">
        <v>45939</v>
      </c>
      <c r="C368" s="1" t="s">
        <v>66</v>
      </c>
      <c r="D368" s="1">
        <v>41</v>
      </c>
      <c r="E368" s="8" t="s">
        <v>78</v>
      </c>
      <c r="F368" t="s">
        <v>18</v>
      </c>
      <c r="G368" s="1" t="s">
        <v>39</v>
      </c>
      <c r="H368" t="s">
        <v>63</v>
      </c>
      <c r="I368" s="1" t="s">
        <v>45</v>
      </c>
      <c r="J368" s="1" t="s">
        <v>51</v>
      </c>
      <c r="K368" s="1">
        <v>1</v>
      </c>
      <c r="L368" t="s">
        <v>53</v>
      </c>
      <c r="M368" t="s">
        <v>56</v>
      </c>
      <c r="N368" t="s">
        <v>58</v>
      </c>
      <c r="O368" s="1">
        <v>6</v>
      </c>
      <c r="P368" s="1" t="s">
        <v>60</v>
      </c>
      <c r="Q368" s="10">
        <v>0.99</v>
      </c>
    </row>
    <row r="369" spans="1:17" x14ac:dyDescent="0.35">
      <c r="A369" t="str">
        <f t="shared" si="5"/>
        <v>NOI000368</v>
      </c>
      <c r="B369" s="6">
        <v>46014</v>
      </c>
      <c r="C369" s="1" t="s">
        <v>71</v>
      </c>
      <c r="D369" s="1">
        <v>52</v>
      </c>
      <c r="E369" s="8" t="s">
        <v>78</v>
      </c>
      <c r="F369" t="s">
        <v>36</v>
      </c>
      <c r="G369" s="1" t="s">
        <v>38</v>
      </c>
      <c r="H369" t="s">
        <v>63</v>
      </c>
      <c r="I369" s="1" t="s">
        <v>44</v>
      </c>
      <c r="J369" s="1" t="s">
        <v>50</v>
      </c>
      <c r="K369" s="1">
        <v>1</v>
      </c>
      <c r="L369" t="s">
        <v>54</v>
      </c>
      <c r="M369" t="s">
        <v>56</v>
      </c>
      <c r="N369" t="s">
        <v>58</v>
      </c>
      <c r="O369" s="1">
        <v>7</v>
      </c>
      <c r="P369" s="1" t="s">
        <v>60</v>
      </c>
      <c r="Q369" s="10">
        <v>0.96</v>
      </c>
    </row>
    <row r="370" spans="1:17" x14ac:dyDescent="0.35">
      <c r="A370" t="str">
        <f t="shared" si="5"/>
        <v>NOI000369</v>
      </c>
      <c r="B370" s="6">
        <v>45947</v>
      </c>
      <c r="C370" s="1" t="s">
        <v>66</v>
      </c>
      <c r="D370" s="1">
        <v>42</v>
      </c>
      <c r="E370" s="8" t="s">
        <v>78</v>
      </c>
      <c r="F370" t="s">
        <v>24</v>
      </c>
      <c r="G370" s="1" t="s">
        <v>38</v>
      </c>
      <c r="H370" t="s">
        <v>62</v>
      </c>
      <c r="I370" s="1" t="s">
        <v>49</v>
      </c>
      <c r="J370" s="1" t="s">
        <v>51</v>
      </c>
      <c r="K370" s="1">
        <v>1</v>
      </c>
      <c r="L370" t="s">
        <v>54</v>
      </c>
      <c r="M370" t="s">
        <v>56</v>
      </c>
      <c r="N370" t="s">
        <v>58</v>
      </c>
      <c r="O370" s="1">
        <v>6</v>
      </c>
      <c r="P370" s="1" t="s">
        <v>60</v>
      </c>
      <c r="Q370" s="10">
        <v>0.99</v>
      </c>
    </row>
    <row r="371" spans="1:17" x14ac:dyDescent="0.35">
      <c r="A371" t="str">
        <f t="shared" si="5"/>
        <v>NOI000370</v>
      </c>
      <c r="B371" s="6">
        <v>45759</v>
      </c>
      <c r="C371" s="1" t="s">
        <v>68</v>
      </c>
      <c r="D371" s="1">
        <v>15</v>
      </c>
      <c r="E371" s="8" t="s">
        <v>76</v>
      </c>
      <c r="F371" t="s">
        <v>36</v>
      </c>
      <c r="G371" s="1" t="s">
        <v>40</v>
      </c>
      <c r="H371" t="s">
        <v>62</v>
      </c>
      <c r="I371" s="1" t="s">
        <v>48</v>
      </c>
      <c r="J371" s="1" t="s">
        <v>51</v>
      </c>
      <c r="K371" s="1">
        <v>1</v>
      </c>
      <c r="L371" t="s">
        <v>53</v>
      </c>
      <c r="M371" t="s">
        <v>56</v>
      </c>
      <c r="N371" t="s">
        <v>58</v>
      </c>
      <c r="O371" s="1">
        <v>10</v>
      </c>
      <c r="P371" s="1" t="s">
        <v>60</v>
      </c>
      <c r="Q371" s="10">
        <v>0.97</v>
      </c>
    </row>
    <row r="372" spans="1:17" x14ac:dyDescent="0.35">
      <c r="A372" t="str">
        <f t="shared" si="5"/>
        <v>NOI000371</v>
      </c>
      <c r="B372" s="6">
        <v>45805</v>
      </c>
      <c r="C372" s="1" t="s">
        <v>69</v>
      </c>
      <c r="D372" s="1">
        <v>22</v>
      </c>
      <c r="E372" s="8" t="s">
        <v>76</v>
      </c>
      <c r="F372" t="s">
        <v>31</v>
      </c>
      <c r="G372" s="1" t="s">
        <v>40</v>
      </c>
      <c r="H372" t="s">
        <v>62</v>
      </c>
      <c r="I372" s="1" t="s">
        <v>44</v>
      </c>
      <c r="J372" s="1" t="s">
        <v>50</v>
      </c>
      <c r="K372" s="1">
        <v>1</v>
      </c>
      <c r="L372" t="s">
        <v>53</v>
      </c>
      <c r="M372" t="s">
        <v>56</v>
      </c>
      <c r="N372" t="s">
        <v>58</v>
      </c>
      <c r="O372" s="1">
        <v>8</v>
      </c>
      <c r="P372" s="1" t="s">
        <v>60</v>
      </c>
      <c r="Q372" s="10">
        <v>0.99</v>
      </c>
    </row>
    <row r="373" spans="1:17" x14ac:dyDescent="0.35">
      <c r="A373" t="str">
        <f t="shared" si="5"/>
        <v>NOI000372</v>
      </c>
      <c r="B373" s="6">
        <v>45981</v>
      </c>
      <c r="C373" s="1" t="s">
        <v>73</v>
      </c>
      <c r="D373" s="1">
        <v>47</v>
      </c>
      <c r="E373" s="8" t="s">
        <v>78</v>
      </c>
      <c r="F373" t="s">
        <v>32</v>
      </c>
      <c r="G373" s="1" t="s">
        <v>38</v>
      </c>
      <c r="H373" t="s">
        <v>62</v>
      </c>
      <c r="I373" s="1" t="s">
        <v>46</v>
      </c>
      <c r="J373" s="1" t="s">
        <v>51</v>
      </c>
      <c r="K373" s="1">
        <v>1</v>
      </c>
      <c r="L373" t="s">
        <v>53</v>
      </c>
      <c r="M373" t="s">
        <v>56</v>
      </c>
      <c r="N373" t="s">
        <v>58</v>
      </c>
      <c r="O373" s="1">
        <v>6</v>
      </c>
      <c r="P373" s="1" t="s">
        <v>60</v>
      </c>
      <c r="Q373" s="10">
        <v>0.96</v>
      </c>
    </row>
    <row r="374" spans="1:17" x14ac:dyDescent="0.35">
      <c r="A374" t="str">
        <f t="shared" si="5"/>
        <v>NOI000373</v>
      </c>
      <c r="B374" s="6">
        <v>45738</v>
      </c>
      <c r="C374" s="1" t="s">
        <v>65</v>
      </c>
      <c r="D374" s="1">
        <v>12</v>
      </c>
      <c r="E374" s="8" t="s">
        <v>77</v>
      </c>
      <c r="F374" t="s">
        <v>30</v>
      </c>
      <c r="G374" s="1" t="s">
        <v>39</v>
      </c>
      <c r="H374" t="s">
        <v>62</v>
      </c>
      <c r="I374" s="1" t="s">
        <v>44</v>
      </c>
      <c r="J374" s="1" t="s">
        <v>51</v>
      </c>
      <c r="K374" s="1">
        <v>1</v>
      </c>
      <c r="L374" t="s">
        <v>53</v>
      </c>
      <c r="M374" t="s">
        <v>56</v>
      </c>
      <c r="N374" t="s">
        <v>58</v>
      </c>
      <c r="O374" s="1">
        <v>6</v>
      </c>
      <c r="P374" s="1" t="s">
        <v>60</v>
      </c>
      <c r="Q374" s="10">
        <v>0.99</v>
      </c>
    </row>
    <row r="375" spans="1:17" x14ac:dyDescent="0.35">
      <c r="A375" t="str">
        <f t="shared" si="5"/>
        <v>NOI000374</v>
      </c>
      <c r="B375" s="6">
        <v>45782</v>
      </c>
      <c r="C375" s="1" t="s">
        <v>69</v>
      </c>
      <c r="D375" s="1">
        <v>19</v>
      </c>
      <c r="E375" s="8" t="s">
        <v>76</v>
      </c>
      <c r="F375" t="s">
        <v>19</v>
      </c>
      <c r="G375" s="1" t="s">
        <v>38</v>
      </c>
      <c r="H375" t="s">
        <v>62</v>
      </c>
      <c r="I375" s="1" t="s">
        <v>42</v>
      </c>
      <c r="J375" s="1" t="s">
        <v>51</v>
      </c>
      <c r="K375" s="1">
        <v>1</v>
      </c>
      <c r="L375" t="s">
        <v>54</v>
      </c>
      <c r="M375" t="s">
        <v>56</v>
      </c>
      <c r="N375" t="s">
        <v>58</v>
      </c>
      <c r="O375" s="1">
        <v>8</v>
      </c>
      <c r="P375" s="1" t="s">
        <v>60</v>
      </c>
      <c r="Q375" s="10">
        <v>0.94</v>
      </c>
    </row>
    <row r="376" spans="1:17" x14ac:dyDescent="0.35">
      <c r="A376" t="str">
        <f t="shared" si="5"/>
        <v>NOI000375</v>
      </c>
      <c r="B376" s="6">
        <v>45847</v>
      </c>
      <c r="C376" s="1" t="s">
        <v>70</v>
      </c>
      <c r="D376" s="1">
        <v>28</v>
      </c>
      <c r="E376" s="8" t="s">
        <v>79</v>
      </c>
      <c r="F376" t="s">
        <v>18</v>
      </c>
      <c r="G376" s="1" t="s">
        <v>41</v>
      </c>
      <c r="H376" t="s">
        <v>63</v>
      </c>
      <c r="I376" s="1" t="s">
        <v>48</v>
      </c>
      <c r="J376" s="1" t="s">
        <v>51</v>
      </c>
      <c r="K376" s="1">
        <v>1</v>
      </c>
      <c r="L376" t="s">
        <v>53</v>
      </c>
      <c r="M376" t="s">
        <v>56</v>
      </c>
      <c r="N376" t="s">
        <v>58</v>
      </c>
      <c r="O376" s="1">
        <v>9</v>
      </c>
      <c r="P376" s="1" t="s">
        <v>60</v>
      </c>
      <c r="Q376" s="10">
        <v>0.96</v>
      </c>
    </row>
    <row r="377" spans="1:17" x14ac:dyDescent="0.35">
      <c r="A377" t="str">
        <f t="shared" si="5"/>
        <v>NOI000376</v>
      </c>
      <c r="B377" s="6">
        <v>45916</v>
      </c>
      <c r="C377" s="1" t="s">
        <v>72</v>
      </c>
      <c r="D377" s="1">
        <v>38</v>
      </c>
      <c r="E377" s="8" t="s">
        <v>79</v>
      </c>
      <c r="F377" t="s">
        <v>26</v>
      </c>
      <c r="G377" s="1" t="s">
        <v>38</v>
      </c>
      <c r="H377" t="s">
        <v>62</v>
      </c>
      <c r="I377" s="1" t="s">
        <v>45</v>
      </c>
      <c r="J377" s="1" t="s">
        <v>51</v>
      </c>
      <c r="K377" s="1">
        <v>1</v>
      </c>
      <c r="L377" t="s">
        <v>54</v>
      </c>
      <c r="M377" t="s">
        <v>56</v>
      </c>
      <c r="N377" t="s">
        <v>58</v>
      </c>
      <c r="O377" s="1">
        <v>10</v>
      </c>
      <c r="P377" s="1" t="s">
        <v>60</v>
      </c>
      <c r="Q377" s="10">
        <v>0.96</v>
      </c>
    </row>
    <row r="378" spans="1:17" x14ac:dyDescent="0.35">
      <c r="A378" t="str">
        <f t="shared" si="5"/>
        <v>NOI000377</v>
      </c>
      <c r="B378" s="6">
        <v>45744</v>
      </c>
      <c r="C378" s="1" t="s">
        <v>65</v>
      </c>
      <c r="D378" s="1">
        <v>13</v>
      </c>
      <c r="E378" s="8" t="s">
        <v>77</v>
      </c>
      <c r="F378" t="s">
        <v>26</v>
      </c>
      <c r="G378" s="1" t="s">
        <v>41</v>
      </c>
      <c r="H378" t="s">
        <v>62</v>
      </c>
      <c r="I378" s="1" t="s">
        <v>46</v>
      </c>
      <c r="J378" s="1" t="s">
        <v>50</v>
      </c>
      <c r="K378" s="1">
        <v>1</v>
      </c>
      <c r="L378" t="s">
        <v>53</v>
      </c>
      <c r="M378" t="s">
        <v>57</v>
      </c>
      <c r="N378" t="s">
        <v>58</v>
      </c>
      <c r="O378" s="1">
        <v>6</v>
      </c>
      <c r="P378" s="1" t="s">
        <v>60</v>
      </c>
      <c r="Q378" s="10">
        <v>0.98</v>
      </c>
    </row>
    <row r="379" spans="1:17" x14ac:dyDescent="0.35">
      <c r="A379" t="str">
        <f t="shared" si="5"/>
        <v>NOI000378</v>
      </c>
      <c r="B379" s="6">
        <v>45926</v>
      </c>
      <c r="C379" s="1" t="s">
        <v>72</v>
      </c>
      <c r="D379" s="1">
        <v>39</v>
      </c>
      <c r="E379" s="8" t="s">
        <v>79</v>
      </c>
      <c r="F379" t="s">
        <v>21</v>
      </c>
      <c r="G379" s="1" t="s">
        <v>38</v>
      </c>
      <c r="H379" t="s">
        <v>63</v>
      </c>
      <c r="I379" s="1" t="s">
        <v>43</v>
      </c>
      <c r="J379" s="1" t="s">
        <v>50</v>
      </c>
      <c r="K379" s="1">
        <v>1</v>
      </c>
      <c r="L379" t="s">
        <v>54</v>
      </c>
      <c r="M379" t="s">
        <v>56</v>
      </c>
      <c r="N379" t="s">
        <v>58</v>
      </c>
      <c r="O379" s="1">
        <v>8</v>
      </c>
      <c r="P379" s="1" t="s">
        <v>60</v>
      </c>
      <c r="Q379" s="10">
        <v>0.95</v>
      </c>
    </row>
    <row r="380" spans="1:17" x14ac:dyDescent="0.35">
      <c r="A380" t="str">
        <f t="shared" si="5"/>
        <v>NOI000379</v>
      </c>
      <c r="B380" s="6">
        <v>45803</v>
      </c>
      <c r="C380" s="1" t="s">
        <v>69</v>
      </c>
      <c r="D380" s="1">
        <v>22</v>
      </c>
      <c r="E380" s="8" t="s">
        <v>76</v>
      </c>
      <c r="F380" t="s">
        <v>29</v>
      </c>
      <c r="G380" s="1" t="s">
        <v>40</v>
      </c>
      <c r="H380" t="s">
        <v>62</v>
      </c>
      <c r="I380" s="1" t="s">
        <v>49</v>
      </c>
      <c r="J380" s="1" t="s">
        <v>51</v>
      </c>
      <c r="K380" s="1">
        <v>1</v>
      </c>
      <c r="L380" t="s">
        <v>53</v>
      </c>
      <c r="M380" t="s">
        <v>56</v>
      </c>
      <c r="N380" t="s">
        <v>58</v>
      </c>
      <c r="O380" s="1">
        <v>7</v>
      </c>
      <c r="P380" s="1" t="s">
        <v>60</v>
      </c>
      <c r="Q380" s="10">
        <v>0.98</v>
      </c>
    </row>
    <row r="381" spans="1:17" x14ac:dyDescent="0.35">
      <c r="A381" t="str">
        <f t="shared" si="5"/>
        <v>NOI000380</v>
      </c>
      <c r="B381" s="6">
        <v>45705</v>
      </c>
      <c r="C381" s="1" t="s">
        <v>75</v>
      </c>
      <c r="D381" s="1">
        <v>8</v>
      </c>
      <c r="E381" s="8" t="s">
        <v>77</v>
      </c>
      <c r="F381" t="s">
        <v>34</v>
      </c>
      <c r="G381" s="1" t="s">
        <v>38</v>
      </c>
      <c r="H381" t="s">
        <v>62</v>
      </c>
      <c r="I381" s="1" t="s">
        <v>46</v>
      </c>
      <c r="J381" s="1" t="s">
        <v>51</v>
      </c>
      <c r="K381" s="1">
        <v>1</v>
      </c>
      <c r="L381" t="s">
        <v>54</v>
      </c>
      <c r="M381" t="s">
        <v>56</v>
      </c>
      <c r="N381" t="s">
        <v>58</v>
      </c>
      <c r="O381" s="1">
        <v>10</v>
      </c>
      <c r="P381" s="1" t="s">
        <v>60</v>
      </c>
      <c r="Q381" s="10">
        <v>0.97</v>
      </c>
    </row>
    <row r="382" spans="1:17" x14ac:dyDescent="0.35">
      <c r="A382" t="str">
        <f t="shared" si="5"/>
        <v>NOI000381</v>
      </c>
      <c r="B382" s="6">
        <v>45967</v>
      </c>
      <c r="C382" s="1" t="s">
        <v>73</v>
      </c>
      <c r="D382" s="1">
        <v>45</v>
      </c>
      <c r="E382" s="8" t="s">
        <v>78</v>
      </c>
      <c r="F382" t="s">
        <v>20</v>
      </c>
      <c r="G382" s="1" t="s">
        <v>41</v>
      </c>
      <c r="H382" t="s">
        <v>63</v>
      </c>
      <c r="I382" s="1" t="s">
        <v>42</v>
      </c>
      <c r="J382" s="1" t="s">
        <v>51</v>
      </c>
      <c r="K382" s="1">
        <v>1</v>
      </c>
      <c r="L382" t="s">
        <v>54</v>
      </c>
      <c r="M382" t="s">
        <v>56</v>
      </c>
      <c r="N382" t="s">
        <v>58</v>
      </c>
      <c r="O382" s="1">
        <v>6</v>
      </c>
      <c r="P382" s="1" t="s">
        <v>60</v>
      </c>
      <c r="Q382" s="10">
        <v>0.96</v>
      </c>
    </row>
    <row r="383" spans="1:17" x14ac:dyDescent="0.35">
      <c r="A383" t="str">
        <f t="shared" si="5"/>
        <v>NOI000382</v>
      </c>
      <c r="B383" s="6">
        <v>45802</v>
      </c>
      <c r="C383" s="1" t="s">
        <v>69</v>
      </c>
      <c r="D383" s="1">
        <v>22</v>
      </c>
      <c r="E383" s="8" t="s">
        <v>76</v>
      </c>
      <c r="F383" t="s">
        <v>32</v>
      </c>
      <c r="G383" s="1" t="s">
        <v>38</v>
      </c>
      <c r="H383" t="s">
        <v>62</v>
      </c>
      <c r="I383" s="1" t="s">
        <v>43</v>
      </c>
      <c r="J383" s="1" t="s">
        <v>51</v>
      </c>
      <c r="K383" s="1">
        <v>1</v>
      </c>
      <c r="L383" t="s">
        <v>54</v>
      </c>
      <c r="M383" t="s">
        <v>56</v>
      </c>
      <c r="N383" t="s">
        <v>58</v>
      </c>
      <c r="O383" s="1">
        <v>9</v>
      </c>
      <c r="P383" s="1" t="s">
        <v>60</v>
      </c>
      <c r="Q383" s="10">
        <v>0.99</v>
      </c>
    </row>
    <row r="384" spans="1:17" x14ac:dyDescent="0.35">
      <c r="A384" t="str">
        <f t="shared" si="5"/>
        <v>NOI000383</v>
      </c>
      <c r="B384" s="6">
        <v>45796</v>
      </c>
      <c r="C384" s="1" t="s">
        <v>69</v>
      </c>
      <c r="D384" s="1">
        <v>21</v>
      </c>
      <c r="E384" s="8" t="s">
        <v>76</v>
      </c>
      <c r="F384" t="s">
        <v>33</v>
      </c>
      <c r="G384" s="1" t="s">
        <v>39</v>
      </c>
      <c r="H384" t="s">
        <v>62</v>
      </c>
      <c r="I384" s="1" t="s">
        <v>46</v>
      </c>
      <c r="J384" s="1" t="s">
        <v>51</v>
      </c>
      <c r="K384" s="1">
        <v>1</v>
      </c>
      <c r="L384" t="s">
        <v>54</v>
      </c>
      <c r="M384" t="s">
        <v>56</v>
      </c>
      <c r="N384" t="s">
        <v>58</v>
      </c>
      <c r="O384" s="1">
        <v>6</v>
      </c>
      <c r="P384" s="1" t="s">
        <v>60</v>
      </c>
      <c r="Q384" s="10">
        <v>0.98</v>
      </c>
    </row>
    <row r="385" spans="1:17" x14ac:dyDescent="0.35">
      <c r="A385" t="str">
        <f t="shared" si="5"/>
        <v>NOI000384</v>
      </c>
      <c r="B385" s="6">
        <v>45842</v>
      </c>
      <c r="C385" s="1" t="s">
        <v>70</v>
      </c>
      <c r="D385" s="1">
        <v>27</v>
      </c>
      <c r="E385" s="8" t="s">
        <v>79</v>
      </c>
      <c r="F385" t="s">
        <v>34</v>
      </c>
      <c r="G385" s="1" t="s">
        <v>40</v>
      </c>
      <c r="H385" t="s">
        <v>63</v>
      </c>
      <c r="I385" s="1" t="s">
        <v>45</v>
      </c>
      <c r="J385" s="1" t="s">
        <v>51</v>
      </c>
      <c r="K385" s="1">
        <v>1</v>
      </c>
      <c r="L385" t="s">
        <v>54</v>
      </c>
      <c r="M385" t="s">
        <v>56</v>
      </c>
      <c r="N385" t="s">
        <v>58</v>
      </c>
      <c r="O385" s="1">
        <v>6</v>
      </c>
      <c r="P385" s="1" t="s">
        <v>60</v>
      </c>
      <c r="Q385" s="10">
        <v>0.97</v>
      </c>
    </row>
    <row r="386" spans="1:17" x14ac:dyDescent="0.35">
      <c r="A386" t="str">
        <f t="shared" ref="A386:A449" si="6">"NOI"&amp;TEXT(ROW()-1,"000000")</f>
        <v>NOI000385</v>
      </c>
      <c r="B386" s="6">
        <v>45709</v>
      </c>
      <c r="C386" s="1" t="s">
        <v>75</v>
      </c>
      <c r="D386" s="1">
        <v>8</v>
      </c>
      <c r="E386" s="8" t="s">
        <v>77</v>
      </c>
      <c r="F386" t="s">
        <v>18</v>
      </c>
      <c r="G386" s="1" t="s">
        <v>38</v>
      </c>
      <c r="H386" t="s">
        <v>62</v>
      </c>
      <c r="I386" s="1" t="s">
        <v>44</v>
      </c>
      <c r="J386" s="1" t="s">
        <v>50</v>
      </c>
      <c r="K386" s="1">
        <v>1</v>
      </c>
      <c r="L386" t="s">
        <v>53</v>
      </c>
      <c r="M386" t="s">
        <v>56</v>
      </c>
      <c r="N386" t="s">
        <v>58</v>
      </c>
      <c r="O386" s="1">
        <v>7</v>
      </c>
      <c r="P386" s="1" t="s">
        <v>60</v>
      </c>
      <c r="Q386" s="10">
        <v>0.94</v>
      </c>
    </row>
    <row r="387" spans="1:17" x14ac:dyDescent="0.35">
      <c r="A387" t="str">
        <f t="shared" si="6"/>
        <v>NOI000386</v>
      </c>
      <c r="B387" s="6">
        <v>45840</v>
      </c>
      <c r="C387" s="1" t="s">
        <v>70</v>
      </c>
      <c r="D387" s="1">
        <v>27</v>
      </c>
      <c r="E387" s="8" t="s">
        <v>79</v>
      </c>
      <c r="F387" t="s">
        <v>27</v>
      </c>
      <c r="G387" s="1" t="s">
        <v>37</v>
      </c>
      <c r="H387" t="s">
        <v>62</v>
      </c>
      <c r="I387" s="1" t="s">
        <v>46</v>
      </c>
      <c r="J387" s="1" t="s">
        <v>50</v>
      </c>
      <c r="K387" s="1">
        <v>1</v>
      </c>
      <c r="L387" t="s">
        <v>53</v>
      </c>
      <c r="M387" t="s">
        <v>56</v>
      </c>
      <c r="N387" t="s">
        <v>58</v>
      </c>
      <c r="O387" s="1">
        <v>7</v>
      </c>
      <c r="P387" s="1" t="s">
        <v>60</v>
      </c>
      <c r="Q387" s="10">
        <v>0.96</v>
      </c>
    </row>
    <row r="388" spans="1:17" x14ac:dyDescent="0.35">
      <c r="A388" t="str">
        <f t="shared" si="6"/>
        <v>NOI000387</v>
      </c>
      <c r="B388" s="6">
        <v>45933</v>
      </c>
      <c r="C388" s="1" t="s">
        <v>66</v>
      </c>
      <c r="D388" s="1">
        <v>40</v>
      </c>
      <c r="E388" s="8" t="s">
        <v>78</v>
      </c>
      <c r="F388" t="s">
        <v>23</v>
      </c>
      <c r="G388" s="1" t="s">
        <v>40</v>
      </c>
      <c r="H388" t="s">
        <v>62</v>
      </c>
      <c r="I388" s="1" t="s">
        <v>49</v>
      </c>
      <c r="J388" s="1" t="s">
        <v>51</v>
      </c>
      <c r="K388" s="1">
        <v>1</v>
      </c>
      <c r="L388" t="s">
        <v>54</v>
      </c>
      <c r="M388" t="s">
        <v>56</v>
      </c>
      <c r="N388" t="s">
        <v>58</v>
      </c>
      <c r="O388" s="1">
        <v>9</v>
      </c>
      <c r="P388" s="1" t="s">
        <v>61</v>
      </c>
      <c r="Q388" s="10">
        <v>0.96</v>
      </c>
    </row>
    <row r="389" spans="1:17" x14ac:dyDescent="0.35">
      <c r="A389" t="str">
        <f t="shared" si="6"/>
        <v>NOI000388</v>
      </c>
      <c r="B389" s="6">
        <v>45945</v>
      </c>
      <c r="C389" s="1" t="s">
        <v>66</v>
      </c>
      <c r="D389" s="1">
        <v>42</v>
      </c>
      <c r="E389" s="8" t="s">
        <v>78</v>
      </c>
      <c r="F389" t="s">
        <v>22</v>
      </c>
      <c r="G389" s="1" t="s">
        <v>41</v>
      </c>
      <c r="H389" t="s">
        <v>62</v>
      </c>
      <c r="I389" s="1" t="s">
        <v>48</v>
      </c>
      <c r="J389" s="1" t="s">
        <v>51</v>
      </c>
      <c r="K389" s="1">
        <v>1</v>
      </c>
      <c r="L389" t="s">
        <v>53</v>
      </c>
      <c r="M389" t="s">
        <v>56</v>
      </c>
      <c r="N389" t="s">
        <v>58</v>
      </c>
      <c r="O389" s="1">
        <v>6</v>
      </c>
      <c r="P389" s="1" t="s">
        <v>60</v>
      </c>
      <c r="Q389" s="10">
        <v>0.99</v>
      </c>
    </row>
    <row r="390" spans="1:17" x14ac:dyDescent="0.35">
      <c r="A390" t="str">
        <f t="shared" si="6"/>
        <v>NOI000389</v>
      </c>
      <c r="B390" s="6">
        <v>45933</v>
      </c>
      <c r="C390" s="1" t="s">
        <v>66</v>
      </c>
      <c r="D390" s="1">
        <v>40</v>
      </c>
      <c r="E390" s="8" t="s">
        <v>78</v>
      </c>
      <c r="F390" t="s">
        <v>27</v>
      </c>
      <c r="G390" s="1" t="s">
        <v>41</v>
      </c>
      <c r="H390" t="s">
        <v>63</v>
      </c>
      <c r="I390" s="1" t="s">
        <v>43</v>
      </c>
      <c r="J390" s="1" t="s">
        <v>51</v>
      </c>
      <c r="K390" s="1">
        <v>1</v>
      </c>
      <c r="L390" t="s">
        <v>54</v>
      </c>
      <c r="M390" t="s">
        <v>57</v>
      </c>
      <c r="N390" t="s">
        <v>58</v>
      </c>
      <c r="O390" s="1">
        <v>9</v>
      </c>
      <c r="P390" s="1" t="s">
        <v>61</v>
      </c>
      <c r="Q390" s="10">
        <v>0.95</v>
      </c>
    </row>
    <row r="391" spans="1:17" x14ac:dyDescent="0.35">
      <c r="A391" t="str">
        <f t="shared" si="6"/>
        <v>NOI000390</v>
      </c>
      <c r="B391" s="6">
        <v>45982</v>
      </c>
      <c r="C391" s="1" t="s">
        <v>73</v>
      </c>
      <c r="D391" s="1">
        <v>47</v>
      </c>
      <c r="E391" s="8" t="s">
        <v>78</v>
      </c>
      <c r="F391" t="s">
        <v>27</v>
      </c>
      <c r="G391" s="1" t="s">
        <v>37</v>
      </c>
      <c r="H391" t="s">
        <v>62</v>
      </c>
      <c r="I391" s="1" t="s">
        <v>42</v>
      </c>
      <c r="J391" s="1" t="s">
        <v>50</v>
      </c>
      <c r="K391" s="1">
        <v>1</v>
      </c>
      <c r="L391" t="s">
        <v>53</v>
      </c>
      <c r="M391" t="s">
        <v>56</v>
      </c>
      <c r="N391" t="s">
        <v>58</v>
      </c>
      <c r="O391" s="1">
        <v>9</v>
      </c>
      <c r="P391" s="1" t="s">
        <v>60</v>
      </c>
      <c r="Q391" s="10">
        <v>0.99</v>
      </c>
    </row>
    <row r="392" spans="1:17" x14ac:dyDescent="0.35">
      <c r="A392" t="str">
        <f t="shared" si="6"/>
        <v>NOI000391</v>
      </c>
      <c r="B392" s="6">
        <v>45927</v>
      </c>
      <c r="C392" s="1" t="s">
        <v>72</v>
      </c>
      <c r="D392" s="1">
        <v>39</v>
      </c>
      <c r="E392" s="8" t="s">
        <v>79</v>
      </c>
      <c r="F392" t="s">
        <v>25</v>
      </c>
      <c r="G392" s="1" t="s">
        <v>39</v>
      </c>
      <c r="H392" t="s">
        <v>62</v>
      </c>
      <c r="I392" s="1" t="s">
        <v>44</v>
      </c>
      <c r="J392" s="1" t="s">
        <v>50</v>
      </c>
      <c r="K392" s="1">
        <v>1</v>
      </c>
      <c r="L392" t="s">
        <v>53</v>
      </c>
      <c r="M392" t="s">
        <v>56</v>
      </c>
      <c r="N392" t="s">
        <v>58</v>
      </c>
      <c r="O392" s="1">
        <v>7</v>
      </c>
      <c r="P392" s="1" t="s">
        <v>60</v>
      </c>
      <c r="Q392" s="10">
        <v>0.99</v>
      </c>
    </row>
    <row r="393" spans="1:17" x14ac:dyDescent="0.35">
      <c r="A393" t="str">
        <f t="shared" si="6"/>
        <v>NOI000392</v>
      </c>
      <c r="B393" s="6">
        <v>45887</v>
      </c>
      <c r="C393" s="1" t="s">
        <v>74</v>
      </c>
      <c r="D393" s="1">
        <v>34</v>
      </c>
      <c r="E393" s="8" t="s">
        <v>79</v>
      </c>
      <c r="F393" t="s">
        <v>28</v>
      </c>
      <c r="G393" s="1" t="s">
        <v>40</v>
      </c>
      <c r="H393" t="s">
        <v>63</v>
      </c>
      <c r="I393" s="1" t="s">
        <v>43</v>
      </c>
      <c r="J393" s="1" t="s">
        <v>50</v>
      </c>
      <c r="K393" s="1">
        <v>1</v>
      </c>
      <c r="L393" t="s">
        <v>53</v>
      </c>
      <c r="M393" t="s">
        <v>56</v>
      </c>
      <c r="N393" t="s">
        <v>58</v>
      </c>
      <c r="O393" s="1">
        <v>10</v>
      </c>
      <c r="P393" s="1" t="s">
        <v>60</v>
      </c>
      <c r="Q393" s="10">
        <v>0.94</v>
      </c>
    </row>
    <row r="394" spans="1:17" x14ac:dyDescent="0.35">
      <c r="A394" t="str">
        <f t="shared" si="6"/>
        <v>NOI000393</v>
      </c>
      <c r="B394" s="6">
        <v>45715</v>
      </c>
      <c r="C394" s="1" t="s">
        <v>75</v>
      </c>
      <c r="D394" s="1">
        <v>9</v>
      </c>
      <c r="E394" s="8" t="s">
        <v>77</v>
      </c>
      <c r="F394" t="s">
        <v>17</v>
      </c>
      <c r="G394" s="1" t="s">
        <v>39</v>
      </c>
      <c r="H394" t="s">
        <v>62</v>
      </c>
      <c r="I394" s="1" t="s">
        <v>44</v>
      </c>
      <c r="J394" s="1" t="s">
        <v>50</v>
      </c>
      <c r="K394" s="1">
        <v>1</v>
      </c>
      <c r="L394" t="s">
        <v>54</v>
      </c>
      <c r="M394" t="s">
        <v>56</v>
      </c>
      <c r="N394" t="s">
        <v>58</v>
      </c>
      <c r="O394" s="1">
        <v>6</v>
      </c>
      <c r="P394" s="1" t="s">
        <v>60</v>
      </c>
      <c r="Q394" s="10">
        <v>0.98</v>
      </c>
    </row>
    <row r="395" spans="1:17" x14ac:dyDescent="0.35">
      <c r="A395" t="str">
        <f t="shared" si="6"/>
        <v>NOI000394</v>
      </c>
      <c r="B395" s="6">
        <v>45950</v>
      </c>
      <c r="C395" s="1" t="s">
        <v>66</v>
      </c>
      <c r="D395" s="1">
        <v>43</v>
      </c>
      <c r="E395" s="8" t="s">
        <v>78</v>
      </c>
      <c r="F395" t="s">
        <v>36</v>
      </c>
      <c r="G395" s="1" t="s">
        <v>39</v>
      </c>
      <c r="H395" t="s">
        <v>62</v>
      </c>
      <c r="I395" s="1" t="s">
        <v>43</v>
      </c>
      <c r="J395" s="1" t="s">
        <v>50</v>
      </c>
      <c r="K395" s="1">
        <v>1</v>
      </c>
      <c r="L395" t="s">
        <v>53</v>
      </c>
      <c r="M395" t="s">
        <v>56</v>
      </c>
      <c r="N395" t="s">
        <v>58</v>
      </c>
      <c r="O395" s="1">
        <v>8</v>
      </c>
      <c r="P395" s="1" t="s">
        <v>60</v>
      </c>
      <c r="Q395" s="10">
        <v>0.98</v>
      </c>
    </row>
    <row r="396" spans="1:17" x14ac:dyDescent="0.35">
      <c r="A396" t="str">
        <f t="shared" si="6"/>
        <v>NOI000395</v>
      </c>
      <c r="B396" s="6">
        <v>45692</v>
      </c>
      <c r="C396" s="1" t="s">
        <v>75</v>
      </c>
      <c r="D396" s="1">
        <v>6</v>
      </c>
      <c r="E396" s="8" t="s">
        <v>77</v>
      </c>
      <c r="F396" t="s">
        <v>21</v>
      </c>
      <c r="G396" s="1" t="s">
        <v>41</v>
      </c>
      <c r="H396" t="s">
        <v>63</v>
      </c>
      <c r="I396" s="1" t="s">
        <v>46</v>
      </c>
      <c r="J396" s="1" t="s">
        <v>50</v>
      </c>
      <c r="K396" s="1">
        <v>1</v>
      </c>
      <c r="L396" t="s">
        <v>53</v>
      </c>
      <c r="M396" t="s">
        <v>56</v>
      </c>
      <c r="N396" t="s">
        <v>58</v>
      </c>
      <c r="O396" s="1">
        <v>6</v>
      </c>
      <c r="P396" s="1" t="s">
        <v>60</v>
      </c>
      <c r="Q396" s="10">
        <v>0.97</v>
      </c>
    </row>
    <row r="397" spans="1:17" x14ac:dyDescent="0.35">
      <c r="A397" t="str">
        <f t="shared" si="6"/>
        <v>NOI000396</v>
      </c>
      <c r="B397" s="6">
        <v>45769</v>
      </c>
      <c r="C397" s="1" t="s">
        <v>68</v>
      </c>
      <c r="D397" s="1">
        <v>17</v>
      </c>
      <c r="E397" s="8" t="s">
        <v>76</v>
      </c>
      <c r="F397" t="s">
        <v>22</v>
      </c>
      <c r="G397" s="1" t="s">
        <v>39</v>
      </c>
      <c r="H397" t="s">
        <v>62</v>
      </c>
      <c r="I397" s="1" t="s">
        <v>44</v>
      </c>
      <c r="J397" s="1" t="s">
        <v>51</v>
      </c>
      <c r="K397" s="1">
        <v>1</v>
      </c>
      <c r="L397" t="s">
        <v>53</v>
      </c>
      <c r="M397" t="s">
        <v>56</v>
      </c>
      <c r="N397" t="s">
        <v>58</v>
      </c>
      <c r="O397" s="1">
        <v>6</v>
      </c>
      <c r="P397" s="1" t="s">
        <v>60</v>
      </c>
      <c r="Q397" s="10">
        <v>0.94</v>
      </c>
    </row>
    <row r="398" spans="1:17" x14ac:dyDescent="0.35">
      <c r="A398" t="str">
        <f t="shared" si="6"/>
        <v>NOI000397</v>
      </c>
      <c r="B398" s="6">
        <v>46019</v>
      </c>
      <c r="C398" s="1" t="s">
        <v>71</v>
      </c>
      <c r="D398" s="1">
        <v>53</v>
      </c>
      <c r="E398" s="8" t="s">
        <v>78</v>
      </c>
      <c r="F398" t="s">
        <v>22</v>
      </c>
      <c r="G398" s="1" t="s">
        <v>39</v>
      </c>
      <c r="H398" t="s">
        <v>63</v>
      </c>
      <c r="I398" s="1" t="s">
        <v>47</v>
      </c>
      <c r="J398" s="1" t="s">
        <v>50</v>
      </c>
      <c r="K398" s="1">
        <v>1</v>
      </c>
      <c r="L398" t="s">
        <v>54</v>
      </c>
      <c r="M398" t="s">
        <v>56</v>
      </c>
      <c r="N398" t="s">
        <v>58</v>
      </c>
      <c r="O398" s="1">
        <v>9</v>
      </c>
      <c r="P398" s="1" t="s">
        <v>60</v>
      </c>
      <c r="Q398" s="10">
        <v>0.98</v>
      </c>
    </row>
    <row r="399" spans="1:17" x14ac:dyDescent="0.35">
      <c r="A399" t="str">
        <f t="shared" si="6"/>
        <v>NOI000398</v>
      </c>
      <c r="B399" s="6">
        <v>45912</v>
      </c>
      <c r="C399" s="1" t="s">
        <v>72</v>
      </c>
      <c r="D399" s="1">
        <v>37</v>
      </c>
      <c r="E399" s="8" t="s">
        <v>79</v>
      </c>
      <c r="F399" t="s">
        <v>27</v>
      </c>
      <c r="G399" s="1" t="s">
        <v>38</v>
      </c>
      <c r="H399" t="s">
        <v>62</v>
      </c>
      <c r="I399" s="1" t="s">
        <v>48</v>
      </c>
      <c r="J399" s="1" t="s">
        <v>50</v>
      </c>
      <c r="K399" s="1">
        <v>1</v>
      </c>
      <c r="L399" t="s">
        <v>54</v>
      </c>
      <c r="M399" t="s">
        <v>56</v>
      </c>
      <c r="N399" t="s">
        <v>58</v>
      </c>
      <c r="O399" s="1">
        <v>9</v>
      </c>
      <c r="P399" s="1" t="s">
        <v>60</v>
      </c>
      <c r="Q399" s="10">
        <v>0.98</v>
      </c>
    </row>
    <row r="400" spans="1:17" x14ac:dyDescent="0.35">
      <c r="A400" t="str">
        <f t="shared" si="6"/>
        <v>NOI000399</v>
      </c>
      <c r="B400" s="6">
        <v>45863</v>
      </c>
      <c r="C400" s="1" t="s">
        <v>70</v>
      </c>
      <c r="D400" s="1">
        <v>30</v>
      </c>
      <c r="E400" s="8" t="s">
        <v>79</v>
      </c>
      <c r="F400" t="s">
        <v>30</v>
      </c>
      <c r="G400" s="1" t="s">
        <v>41</v>
      </c>
      <c r="H400" t="s">
        <v>62</v>
      </c>
      <c r="I400" s="1" t="s">
        <v>49</v>
      </c>
      <c r="J400" s="1" t="s">
        <v>51</v>
      </c>
      <c r="K400" s="1">
        <v>1</v>
      </c>
      <c r="L400" t="s">
        <v>54</v>
      </c>
      <c r="M400" t="s">
        <v>56</v>
      </c>
      <c r="N400" t="s">
        <v>58</v>
      </c>
      <c r="O400" s="1">
        <v>6</v>
      </c>
      <c r="P400" s="1" t="s">
        <v>60</v>
      </c>
      <c r="Q400" s="10">
        <v>0.95</v>
      </c>
    </row>
    <row r="401" spans="1:17" x14ac:dyDescent="0.35">
      <c r="A401" t="str">
        <f t="shared" si="6"/>
        <v>NOI000400</v>
      </c>
      <c r="B401" s="6">
        <v>45717</v>
      </c>
      <c r="C401" s="1" t="s">
        <v>65</v>
      </c>
      <c r="D401" s="1">
        <v>9</v>
      </c>
      <c r="E401" s="8" t="s">
        <v>77</v>
      </c>
      <c r="F401" t="s">
        <v>21</v>
      </c>
      <c r="G401" s="1" t="s">
        <v>39</v>
      </c>
      <c r="H401" t="s">
        <v>62</v>
      </c>
      <c r="I401" s="1" t="s">
        <v>49</v>
      </c>
      <c r="J401" s="1" t="s">
        <v>50</v>
      </c>
      <c r="K401" s="1">
        <v>1</v>
      </c>
      <c r="L401" t="s">
        <v>54</v>
      </c>
      <c r="M401" t="s">
        <v>56</v>
      </c>
      <c r="N401" t="s">
        <v>58</v>
      </c>
      <c r="O401" s="1">
        <v>7</v>
      </c>
      <c r="P401" s="1" t="s">
        <v>60</v>
      </c>
      <c r="Q401" s="10">
        <v>0.95</v>
      </c>
    </row>
    <row r="402" spans="1:17" x14ac:dyDescent="0.35">
      <c r="A402" t="str">
        <f t="shared" si="6"/>
        <v>NOI000401</v>
      </c>
      <c r="B402" s="6">
        <v>45876</v>
      </c>
      <c r="C402" s="1" t="s">
        <v>74</v>
      </c>
      <c r="D402" s="1">
        <v>32</v>
      </c>
      <c r="E402" s="8" t="s">
        <v>79</v>
      </c>
      <c r="F402" t="s">
        <v>26</v>
      </c>
      <c r="G402" s="1" t="s">
        <v>39</v>
      </c>
      <c r="H402" t="s">
        <v>62</v>
      </c>
      <c r="I402" s="1" t="s">
        <v>42</v>
      </c>
      <c r="J402" s="1" t="s">
        <v>50</v>
      </c>
      <c r="K402" s="1">
        <v>1</v>
      </c>
      <c r="L402" t="s">
        <v>54</v>
      </c>
      <c r="M402" t="s">
        <v>56</v>
      </c>
      <c r="N402" t="s">
        <v>58</v>
      </c>
      <c r="O402" s="1">
        <v>8</v>
      </c>
      <c r="P402" s="1" t="s">
        <v>60</v>
      </c>
      <c r="Q402" s="10">
        <v>0.95</v>
      </c>
    </row>
    <row r="403" spans="1:17" x14ac:dyDescent="0.35">
      <c r="A403" t="str">
        <f t="shared" si="6"/>
        <v>NOI000402</v>
      </c>
      <c r="B403" s="6">
        <v>45667</v>
      </c>
      <c r="C403" s="1" t="s">
        <v>67</v>
      </c>
      <c r="D403" s="1">
        <v>2</v>
      </c>
      <c r="E403" s="8" t="s">
        <v>77</v>
      </c>
      <c r="F403" t="s">
        <v>20</v>
      </c>
      <c r="G403" s="1" t="s">
        <v>38</v>
      </c>
      <c r="H403" t="s">
        <v>62</v>
      </c>
      <c r="I403" s="1" t="s">
        <v>44</v>
      </c>
      <c r="J403" s="1" t="s">
        <v>51</v>
      </c>
      <c r="K403" s="1">
        <v>1</v>
      </c>
      <c r="L403" t="s">
        <v>54</v>
      </c>
      <c r="M403" t="s">
        <v>56</v>
      </c>
      <c r="N403" t="s">
        <v>58</v>
      </c>
      <c r="O403" s="1">
        <v>7</v>
      </c>
      <c r="P403" s="1" t="s">
        <v>60</v>
      </c>
      <c r="Q403" s="10">
        <v>0.95</v>
      </c>
    </row>
    <row r="404" spans="1:17" x14ac:dyDescent="0.35">
      <c r="A404" t="str">
        <f t="shared" si="6"/>
        <v>NOI000403</v>
      </c>
      <c r="B404" s="6">
        <v>46013</v>
      </c>
      <c r="C404" s="1" t="s">
        <v>71</v>
      </c>
      <c r="D404" s="1">
        <v>52</v>
      </c>
      <c r="E404" s="8" t="s">
        <v>78</v>
      </c>
      <c r="F404" t="s">
        <v>29</v>
      </c>
      <c r="G404" s="1" t="s">
        <v>37</v>
      </c>
      <c r="H404" t="s">
        <v>63</v>
      </c>
      <c r="I404" s="1" t="s">
        <v>44</v>
      </c>
      <c r="J404" s="1" t="s">
        <v>51</v>
      </c>
      <c r="K404" s="1">
        <v>1</v>
      </c>
      <c r="L404" t="s">
        <v>53</v>
      </c>
      <c r="M404" t="s">
        <v>56</v>
      </c>
      <c r="N404" t="s">
        <v>58</v>
      </c>
      <c r="O404" s="1">
        <v>6</v>
      </c>
      <c r="P404" s="1" t="s">
        <v>60</v>
      </c>
      <c r="Q404" s="10">
        <v>0.98</v>
      </c>
    </row>
    <row r="405" spans="1:17" x14ac:dyDescent="0.35">
      <c r="A405" t="str">
        <f t="shared" si="6"/>
        <v>NOI000404</v>
      </c>
      <c r="B405" s="6">
        <v>46001</v>
      </c>
      <c r="C405" s="1" t="s">
        <v>71</v>
      </c>
      <c r="D405" s="1">
        <v>50</v>
      </c>
      <c r="E405" s="8" t="s">
        <v>78</v>
      </c>
      <c r="F405" t="s">
        <v>18</v>
      </c>
      <c r="G405" s="1" t="s">
        <v>40</v>
      </c>
      <c r="H405" t="s">
        <v>62</v>
      </c>
      <c r="I405" s="1" t="s">
        <v>47</v>
      </c>
      <c r="J405" s="1" t="s">
        <v>50</v>
      </c>
      <c r="K405" s="1">
        <v>1</v>
      </c>
      <c r="L405" t="s">
        <v>53</v>
      </c>
      <c r="M405" t="s">
        <v>56</v>
      </c>
      <c r="N405" t="s">
        <v>58</v>
      </c>
      <c r="O405" s="1">
        <v>7</v>
      </c>
      <c r="P405" s="1" t="s">
        <v>60</v>
      </c>
      <c r="Q405" s="10">
        <v>0.97</v>
      </c>
    </row>
    <row r="406" spans="1:17" x14ac:dyDescent="0.35">
      <c r="A406" t="str">
        <f t="shared" si="6"/>
        <v>NOI000405</v>
      </c>
      <c r="B406" s="6">
        <v>45925</v>
      </c>
      <c r="C406" s="1" t="s">
        <v>72</v>
      </c>
      <c r="D406" s="1">
        <v>39</v>
      </c>
      <c r="E406" s="8" t="s">
        <v>79</v>
      </c>
      <c r="F406" t="s">
        <v>32</v>
      </c>
      <c r="G406" s="1" t="s">
        <v>37</v>
      </c>
      <c r="H406" t="s">
        <v>62</v>
      </c>
      <c r="I406" s="1" t="s">
        <v>46</v>
      </c>
      <c r="J406" s="1" t="s">
        <v>50</v>
      </c>
      <c r="K406" s="1">
        <v>1</v>
      </c>
      <c r="L406" t="s">
        <v>54</v>
      </c>
      <c r="M406" t="s">
        <v>56</v>
      </c>
      <c r="N406" t="s">
        <v>58</v>
      </c>
      <c r="O406" s="1">
        <v>7</v>
      </c>
      <c r="P406" s="1" t="s">
        <v>60</v>
      </c>
      <c r="Q406" s="10">
        <v>0.98</v>
      </c>
    </row>
    <row r="407" spans="1:17" x14ac:dyDescent="0.35">
      <c r="A407" t="str">
        <f t="shared" si="6"/>
        <v>NOI000406</v>
      </c>
      <c r="B407" s="6">
        <v>45834</v>
      </c>
      <c r="C407" s="1" t="s">
        <v>64</v>
      </c>
      <c r="D407" s="1">
        <v>26</v>
      </c>
      <c r="E407" s="8" t="s">
        <v>76</v>
      </c>
      <c r="F407" t="s">
        <v>24</v>
      </c>
      <c r="G407" s="1" t="s">
        <v>37</v>
      </c>
      <c r="H407" t="s">
        <v>63</v>
      </c>
      <c r="I407" s="1" t="s">
        <v>47</v>
      </c>
      <c r="J407" s="1" t="s">
        <v>51</v>
      </c>
      <c r="K407" s="1">
        <v>1</v>
      </c>
      <c r="L407" t="s">
        <v>53</v>
      </c>
      <c r="M407" t="s">
        <v>56</v>
      </c>
      <c r="N407" t="s">
        <v>58</v>
      </c>
      <c r="O407" s="1">
        <v>10</v>
      </c>
      <c r="P407" s="1" t="s">
        <v>60</v>
      </c>
      <c r="Q407" s="10">
        <v>0.95</v>
      </c>
    </row>
    <row r="408" spans="1:17" x14ac:dyDescent="0.35">
      <c r="A408" t="str">
        <f t="shared" si="6"/>
        <v>NOI000407</v>
      </c>
      <c r="B408" s="6">
        <v>45836</v>
      </c>
      <c r="C408" s="1" t="s">
        <v>64</v>
      </c>
      <c r="D408" s="1">
        <v>26</v>
      </c>
      <c r="E408" s="8" t="s">
        <v>76</v>
      </c>
      <c r="F408" t="s">
        <v>19</v>
      </c>
      <c r="G408" s="1" t="s">
        <v>38</v>
      </c>
      <c r="H408" t="s">
        <v>62</v>
      </c>
      <c r="I408" s="1" t="s">
        <v>42</v>
      </c>
      <c r="J408" s="1" t="s">
        <v>51</v>
      </c>
      <c r="K408" s="1">
        <v>1</v>
      </c>
      <c r="L408" t="s">
        <v>53</v>
      </c>
      <c r="M408" t="s">
        <v>56</v>
      </c>
      <c r="N408" t="s">
        <v>58</v>
      </c>
      <c r="O408" s="1">
        <v>6</v>
      </c>
      <c r="P408" s="1" t="s">
        <v>60</v>
      </c>
      <c r="Q408" s="10">
        <v>0.96</v>
      </c>
    </row>
    <row r="409" spans="1:17" x14ac:dyDescent="0.35">
      <c r="A409" t="str">
        <f t="shared" si="6"/>
        <v>NOI000408</v>
      </c>
      <c r="B409" s="6">
        <v>45949</v>
      </c>
      <c r="C409" s="1" t="s">
        <v>66</v>
      </c>
      <c r="D409" s="1">
        <v>43</v>
      </c>
      <c r="E409" s="8" t="s">
        <v>78</v>
      </c>
      <c r="F409" t="s">
        <v>29</v>
      </c>
      <c r="G409" s="1" t="s">
        <v>39</v>
      </c>
      <c r="H409" t="s">
        <v>63</v>
      </c>
      <c r="I409" s="1" t="s">
        <v>46</v>
      </c>
      <c r="J409" s="1" t="s">
        <v>50</v>
      </c>
      <c r="K409" s="1">
        <v>1</v>
      </c>
      <c r="L409" t="s">
        <v>53</v>
      </c>
      <c r="M409" t="s">
        <v>56</v>
      </c>
      <c r="N409" t="s">
        <v>59</v>
      </c>
      <c r="O409" s="1">
        <v>6</v>
      </c>
      <c r="P409" s="1" t="s">
        <v>60</v>
      </c>
      <c r="Q409" s="10">
        <v>0.99</v>
      </c>
    </row>
    <row r="410" spans="1:17" x14ac:dyDescent="0.35">
      <c r="A410" t="str">
        <f t="shared" si="6"/>
        <v>NOI000409</v>
      </c>
      <c r="B410" s="6">
        <v>45781</v>
      </c>
      <c r="C410" s="1" t="s">
        <v>69</v>
      </c>
      <c r="D410" s="1">
        <v>19</v>
      </c>
      <c r="E410" s="8" t="s">
        <v>76</v>
      </c>
      <c r="F410" t="s">
        <v>30</v>
      </c>
      <c r="G410" s="1" t="s">
        <v>39</v>
      </c>
      <c r="H410" t="s">
        <v>62</v>
      </c>
      <c r="I410" s="1" t="s">
        <v>43</v>
      </c>
      <c r="J410" s="1" t="s">
        <v>51</v>
      </c>
      <c r="K410" s="1">
        <v>1</v>
      </c>
      <c r="L410" t="s">
        <v>54</v>
      </c>
      <c r="M410" t="s">
        <v>56</v>
      </c>
      <c r="N410" t="s">
        <v>58</v>
      </c>
      <c r="O410" s="1">
        <v>9</v>
      </c>
      <c r="P410" s="1" t="s">
        <v>60</v>
      </c>
      <c r="Q410" s="10">
        <v>0.97</v>
      </c>
    </row>
    <row r="411" spans="1:17" x14ac:dyDescent="0.35">
      <c r="A411" t="str">
        <f t="shared" si="6"/>
        <v>NOI000410</v>
      </c>
      <c r="B411" s="6">
        <v>45891</v>
      </c>
      <c r="C411" s="1" t="s">
        <v>74</v>
      </c>
      <c r="D411" s="1">
        <v>34</v>
      </c>
      <c r="E411" s="8" t="s">
        <v>79</v>
      </c>
      <c r="F411" t="s">
        <v>30</v>
      </c>
      <c r="G411" s="1" t="s">
        <v>39</v>
      </c>
      <c r="H411" t="s">
        <v>62</v>
      </c>
      <c r="I411" s="1" t="s">
        <v>48</v>
      </c>
      <c r="J411" s="1" t="s">
        <v>50</v>
      </c>
      <c r="K411" s="1">
        <v>1</v>
      </c>
      <c r="L411" t="s">
        <v>53</v>
      </c>
      <c r="M411" t="s">
        <v>56</v>
      </c>
      <c r="N411" t="s">
        <v>58</v>
      </c>
      <c r="O411" s="1">
        <v>9</v>
      </c>
      <c r="P411" s="1" t="s">
        <v>60</v>
      </c>
      <c r="Q411" s="10">
        <v>0.95</v>
      </c>
    </row>
    <row r="412" spans="1:17" x14ac:dyDescent="0.35">
      <c r="A412" t="str">
        <f t="shared" si="6"/>
        <v>NOI000411</v>
      </c>
      <c r="B412" s="6">
        <v>45905</v>
      </c>
      <c r="C412" s="1" t="s">
        <v>72</v>
      </c>
      <c r="D412" s="1">
        <v>36</v>
      </c>
      <c r="E412" s="8" t="s">
        <v>79</v>
      </c>
      <c r="F412" t="s">
        <v>29</v>
      </c>
      <c r="G412" s="1" t="s">
        <v>39</v>
      </c>
      <c r="H412" t="s">
        <v>63</v>
      </c>
      <c r="I412" s="1" t="s">
        <v>44</v>
      </c>
      <c r="J412" s="1" t="s">
        <v>50</v>
      </c>
      <c r="K412" s="1">
        <v>1</v>
      </c>
      <c r="L412" t="s">
        <v>54</v>
      </c>
      <c r="M412" t="s">
        <v>56</v>
      </c>
      <c r="N412" t="s">
        <v>58</v>
      </c>
      <c r="O412" s="1">
        <v>7</v>
      </c>
      <c r="P412" s="1" t="s">
        <v>60</v>
      </c>
      <c r="Q412" s="10">
        <v>0.98</v>
      </c>
    </row>
    <row r="413" spans="1:17" x14ac:dyDescent="0.35">
      <c r="A413" t="str">
        <f t="shared" si="6"/>
        <v>NOI000412</v>
      </c>
      <c r="B413" s="6">
        <v>45866</v>
      </c>
      <c r="C413" s="1" t="s">
        <v>70</v>
      </c>
      <c r="D413" s="1">
        <v>31</v>
      </c>
      <c r="E413" s="8" t="s">
        <v>79</v>
      </c>
      <c r="F413" t="s">
        <v>36</v>
      </c>
      <c r="G413" s="1" t="s">
        <v>41</v>
      </c>
      <c r="H413" t="s">
        <v>62</v>
      </c>
      <c r="I413" s="1" t="s">
        <v>43</v>
      </c>
      <c r="J413" s="1" t="s">
        <v>51</v>
      </c>
      <c r="K413" s="1">
        <v>1</v>
      </c>
      <c r="L413" t="s">
        <v>54</v>
      </c>
      <c r="M413" t="s">
        <v>56</v>
      </c>
      <c r="N413" t="s">
        <v>58</v>
      </c>
      <c r="O413" s="1">
        <v>9</v>
      </c>
      <c r="P413" s="1" t="s">
        <v>60</v>
      </c>
      <c r="Q413" s="10">
        <v>0.96</v>
      </c>
    </row>
    <row r="414" spans="1:17" x14ac:dyDescent="0.35">
      <c r="A414" t="str">
        <f t="shared" si="6"/>
        <v>NOI000413</v>
      </c>
      <c r="B414" s="6">
        <v>45894</v>
      </c>
      <c r="C414" s="1" t="s">
        <v>74</v>
      </c>
      <c r="D414" s="1">
        <v>35</v>
      </c>
      <c r="E414" s="8" t="s">
        <v>79</v>
      </c>
      <c r="F414" t="s">
        <v>30</v>
      </c>
      <c r="G414" s="1" t="s">
        <v>39</v>
      </c>
      <c r="H414" t="s">
        <v>63</v>
      </c>
      <c r="I414" s="1" t="s">
        <v>48</v>
      </c>
      <c r="J414" s="1" t="s">
        <v>50</v>
      </c>
      <c r="K414" s="1">
        <v>1</v>
      </c>
      <c r="L414" t="s">
        <v>53</v>
      </c>
      <c r="M414" t="s">
        <v>56</v>
      </c>
      <c r="N414" t="s">
        <v>58</v>
      </c>
      <c r="O414" s="1">
        <v>7</v>
      </c>
      <c r="P414" s="1" t="s">
        <v>60</v>
      </c>
      <c r="Q414" s="10">
        <v>0.98</v>
      </c>
    </row>
    <row r="415" spans="1:17" x14ac:dyDescent="0.35">
      <c r="A415" t="str">
        <f t="shared" si="6"/>
        <v>NOI000414</v>
      </c>
      <c r="B415" s="6">
        <v>45788</v>
      </c>
      <c r="C415" s="1" t="s">
        <v>69</v>
      </c>
      <c r="D415" s="1">
        <v>20</v>
      </c>
      <c r="E415" s="8" t="s">
        <v>76</v>
      </c>
      <c r="F415" t="s">
        <v>31</v>
      </c>
      <c r="G415" s="1" t="s">
        <v>39</v>
      </c>
      <c r="H415" t="s">
        <v>62</v>
      </c>
      <c r="I415" s="1" t="s">
        <v>45</v>
      </c>
      <c r="J415" s="1" t="s">
        <v>51</v>
      </c>
      <c r="K415" s="1">
        <v>1</v>
      </c>
      <c r="L415" t="s">
        <v>53</v>
      </c>
      <c r="M415" t="s">
        <v>56</v>
      </c>
      <c r="N415" t="s">
        <v>58</v>
      </c>
      <c r="O415" s="1">
        <v>10</v>
      </c>
      <c r="P415" s="1" t="s">
        <v>60</v>
      </c>
      <c r="Q415" s="10">
        <v>0.94</v>
      </c>
    </row>
    <row r="416" spans="1:17" x14ac:dyDescent="0.35">
      <c r="A416" t="str">
        <f t="shared" si="6"/>
        <v>NOI000415</v>
      </c>
      <c r="B416" s="6">
        <v>45752</v>
      </c>
      <c r="C416" s="1" t="s">
        <v>68</v>
      </c>
      <c r="D416" s="1">
        <v>14</v>
      </c>
      <c r="E416" s="8" t="s">
        <v>76</v>
      </c>
      <c r="F416" t="s">
        <v>27</v>
      </c>
      <c r="G416" s="1" t="s">
        <v>41</v>
      </c>
      <c r="H416" t="s">
        <v>62</v>
      </c>
      <c r="I416" s="1" t="s">
        <v>42</v>
      </c>
      <c r="J416" s="1" t="s">
        <v>50</v>
      </c>
      <c r="K416" s="1">
        <v>1</v>
      </c>
      <c r="L416" t="s">
        <v>53</v>
      </c>
      <c r="M416" t="s">
        <v>56</v>
      </c>
      <c r="N416" t="s">
        <v>58</v>
      </c>
      <c r="O416" s="1">
        <v>8</v>
      </c>
      <c r="P416" s="1" t="s">
        <v>60</v>
      </c>
      <c r="Q416" s="10">
        <v>0.95</v>
      </c>
    </row>
    <row r="417" spans="1:17" x14ac:dyDescent="0.35">
      <c r="A417" t="str">
        <f t="shared" si="6"/>
        <v>NOI000416</v>
      </c>
      <c r="B417" s="6">
        <v>45674</v>
      </c>
      <c r="C417" s="1" t="s">
        <v>67</v>
      </c>
      <c r="D417" s="1">
        <v>3</v>
      </c>
      <c r="E417" s="8" t="s">
        <v>77</v>
      </c>
      <c r="F417" t="s">
        <v>33</v>
      </c>
      <c r="G417" s="1" t="s">
        <v>39</v>
      </c>
      <c r="H417" t="s">
        <v>62</v>
      </c>
      <c r="I417" s="1" t="s">
        <v>43</v>
      </c>
      <c r="J417" s="1" t="s">
        <v>51</v>
      </c>
      <c r="K417" s="1">
        <v>1</v>
      </c>
      <c r="L417" t="s">
        <v>54</v>
      </c>
      <c r="M417" t="s">
        <v>56</v>
      </c>
      <c r="N417" t="s">
        <v>58</v>
      </c>
      <c r="O417" s="1">
        <v>7</v>
      </c>
      <c r="P417" s="1" t="s">
        <v>60</v>
      </c>
      <c r="Q417" s="10">
        <v>0.94</v>
      </c>
    </row>
    <row r="418" spans="1:17" x14ac:dyDescent="0.35">
      <c r="A418" t="str">
        <f t="shared" si="6"/>
        <v>NOI000417</v>
      </c>
      <c r="B418" s="6">
        <v>45918</v>
      </c>
      <c r="C418" s="1" t="s">
        <v>72</v>
      </c>
      <c r="D418" s="1">
        <v>38</v>
      </c>
      <c r="E418" s="8" t="s">
        <v>79</v>
      </c>
      <c r="F418" t="s">
        <v>31</v>
      </c>
      <c r="G418" s="1" t="s">
        <v>41</v>
      </c>
      <c r="H418" t="s">
        <v>62</v>
      </c>
      <c r="I418" s="1" t="s">
        <v>47</v>
      </c>
      <c r="J418" s="1" t="s">
        <v>51</v>
      </c>
      <c r="K418" s="1">
        <v>1</v>
      </c>
      <c r="L418" t="s">
        <v>54</v>
      </c>
      <c r="M418" t="s">
        <v>56</v>
      </c>
      <c r="N418" t="s">
        <v>58</v>
      </c>
      <c r="O418" s="1">
        <v>8</v>
      </c>
      <c r="P418" s="1" t="s">
        <v>60</v>
      </c>
      <c r="Q418" s="10">
        <v>0.99</v>
      </c>
    </row>
    <row r="419" spans="1:17" x14ac:dyDescent="0.35">
      <c r="A419" t="str">
        <f t="shared" si="6"/>
        <v>NOI000418</v>
      </c>
      <c r="B419" s="6">
        <v>45913</v>
      </c>
      <c r="C419" s="1" t="s">
        <v>72</v>
      </c>
      <c r="D419" s="1">
        <v>37</v>
      </c>
      <c r="E419" s="8" t="s">
        <v>79</v>
      </c>
      <c r="F419" t="s">
        <v>25</v>
      </c>
      <c r="G419" s="1" t="s">
        <v>37</v>
      </c>
      <c r="H419" t="s">
        <v>62</v>
      </c>
      <c r="I419" s="1" t="s">
        <v>47</v>
      </c>
      <c r="J419" s="1" t="s">
        <v>50</v>
      </c>
      <c r="K419" s="1">
        <v>1</v>
      </c>
      <c r="L419" t="s">
        <v>53</v>
      </c>
      <c r="M419" t="s">
        <v>56</v>
      </c>
      <c r="N419" t="s">
        <v>58</v>
      </c>
      <c r="O419" s="1">
        <v>8</v>
      </c>
      <c r="P419" s="1" t="s">
        <v>60</v>
      </c>
      <c r="Q419" s="10">
        <v>0.98</v>
      </c>
    </row>
    <row r="420" spans="1:17" x14ac:dyDescent="0.35">
      <c r="A420" t="str">
        <f t="shared" si="6"/>
        <v>NOI000419</v>
      </c>
      <c r="B420" s="6">
        <v>45966</v>
      </c>
      <c r="C420" s="1" t="s">
        <v>73</v>
      </c>
      <c r="D420" s="1">
        <v>45</v>
      </c>
      <c r="E420" s="8" t="s">
        <v>78</v>
      </c>
      <c r="F420" t="s">
        <v>18</v>
      </c>
      <c r="G420" s="1" t="s">
        <v>39</v>
      </c>
      <c r="H420" t="s">
        <v>62</v>
      </c>
      <c r="I420" s="1" t="s">
        <v>49</v>
      </c>
      <c r="J420" s="1" t="s">
        <v>51</v>
      </c>
      <c r="K420" s="1">
        <v>1</v>
      </c>
      <c r="L420" t="s">
        <v>54</v>
      </c>
      <c r="M420" t="s">
        <v>56</v>
      </c>
      <c r="N420" t="s">
        <v>58</v>
      </c>
      <c r="O420" s="1">
        <v>6</v>
      </c>
      <c r="P420" s="1" t="s">
        <v>60</v>
      </c>
      <c r="Q420" s="10">
        <v>0.94</v>
      </c>
    </row>
    <row r="421" spans="1:17" x14ac:dyDescent="0.35">
      <c r="A421" t="str">
        <f t="shared" si="6"/>
        <v>NOI000420</v>
      </c>
      <c r="B421" s="6">
        <v>45854</v>
      </c>
      <c r="C421" s="1" t="s">
        <v>70</v>
      </c>
      <c r="D421" s="1">
        <v>29</v>
      </c>
      <c r="E421" s="8" t="s">
        <v>79</v>
      </c>
      <c r="F421" t="s">
        <v>26</v>
      </c>
      <c r="G421" s="1" t="s">
        <v>41</v>
      </c>
      <c r="H421" t="s">
        <v>62</v>
      </c>
      <c r="I421" s="1" t="s">
        <v>47</v>
      </c>
      <c r="J421" s="1" t="s">
        <v>50</v>
      </c>
      <c r="K421" s="1">
        <v>1</v>
      </c>
      <c r="L421" t="s">
        <v>54</v>
      </c>
      <c r="M421" t="s">
        <v>56</v>
      </c>
      <c r="N421" t="s">
        <v>58</v>
      </c>
      <c r="O421" s="1">
        <v>6</v>
      </c>
      <c r="P421" s="1" t="s">
        <v>61</v>
      </c>
      <c r="Q421" s="10">
        <v>0.94</v>
      </c>
    </row>
    <row r="422" spans="1:17" x14ac:dyDescent="0.35">
      <c r="A422" t="str">
        <f t="shared" si="6"/>
        <v>NOI000421</v>
      </c>
      <c r="B422" s="6">
        <v>45737</v>
      </c>
      <c r="C422" s="1" t="s">
        <v>65</v>
      </c>
      <c r="D422" s="1">
        <v>12</v>
      </c>
      <c r="E422" s="8" t="s">
        <v>77</v>
      </c>
      <c r="F422" t="s">
        <v>34</v>
      </c>
      <c r="G422" s="1" t="s">
        <v>40</v>
      </c>
      <c r="H422" t="s">
        <v>62</v>
      </c>
      <c r="I422" s="1" t="s">
        <v>44</v>
      </c>
      <c r="J422" s="1" t="s">
        <v>51</v>
      </c>
      <c r="K422" s="1">
        <v>1</v>
      </c>
      <c r="L422" t="s">
        <v>53</v>
      </c>
      <c r="M422" t="s">
        <v>56</v>
      </c>
      <c r="N422" t="s">
        <v>59</v>
      </c>
      <c r="O422" s="1">
        <v>9</v>
      </c>
      <c r="P422" s="1" t="s">
        <v>60</v>
      </c>
      <c r="Q422" s="10">
        <v>0.97</v>
      </c>
    </row>
    <row r="423" spans="1:17" x14ac:dyDescent="0.35">
      <c r="A423" t="str">
        <f t="shared" si="6"/>
        <v>NOI000422</v>
      </c>
      <c r="B423" s="6">
        <v>45875</v>
      </c>
      <c r="C423" s="1" t="s">
        <v>74</v>
      </c>
      <c r="D423" s="1">
        <v>32</v>
      </c>
      <c r="E423" s="8" t="s">
        <v>79</v>
      </c>
      <c r="F423" t="s">
        <v>33</v>
      </c>
      <c r="G423" s="1" t="s">
        <v>37</v>
      </c>
      <c r="H423" t="s">
        <v>62</v>
      </c>
      <c r="I423" s="1" t="s">
        <v>46</v>
      </c>
      <c r="J423" s="1" t="s">
        <v>50</v>
      </c>
      <c r="K423" s="1">
        <v>1</v>
      </c>
      <c r="L423" t="s">
        <v>53</v>
      </c>
      <c r="M423" t="s">
        <v>56</v>
      </c>
      <c r="N423" t="s">
        <v>58</v>
      </c>
      <c r="O423" s="1">
        <v>10</v>
      </c>
      <c r="P423" s="1" t="s">
        <v>60</v>
      </c>
      <c r="Q423" s="10">
        <v>0.94</v>
      </c>
    </row>
    <row r="424" spans="1:17" x14ac:dyDescent="0.35">
      <c r="A424" t="str">
        <f t="shared" si="6"/>
        <v>NOI000423</v>
      </c>
      <c r="B424" s="6">
        <v>45820</v>
      </c>
      <c r="C424" s="1" t="s">
        <v>64</v>
      </c>
      <c r="D424" s="1">
        <v>24</v>
      </c>
      <c r="E424" s="8" t="s">
        <v>76</v>
      </c>
      <c r="F424" t="s">
        <v>28</v>
      </c>
      <c r="G424" s="1" t="s">
        <v>38</v>
      </c>
      <c r="H424" t="s">
        <v>63</v>
      </c>
      <c r="I424" s="1" t="s">
        <v>48</v>
      </c>
      <c r="J424" s="1" t="s">
        <v>51</v>
      </c>
      <c r="K424" s="1">
        <v>1</v>
      </c>
      <c r="L424" t="s">
        <v>54</v>
      </c>
      <c r="M424" t="s">
        <v>56</v>
      </c>
      <c r="N424" t="s">
        <v>58</v>
      </c>
      <c r="O424" s="1">
        <v>6</v>
      </c>
      <c r="P424" s="1" t="s">
        <v>60</v>
      </c>
      <c r="Q424" s="10">
        <v>0.95</v>
      </c>
    </row>
    <row r="425" spans="1:17" x14ac:dyDescent="0.35">
      <c r="A425" t="str">
        <f t="shared" si="6"/>
        <v>NOI000424</v>
      </c>
      <c r="B425" s="6">
        <v>45714</v>
      </c>
      <c r="C425" s="1" t="s">
        <v>75</v>
      </c>
      <c r="D425" s="1">
        <v>9</v>
      </c>
      <c r="E425" s="8" t="s">
        <v>77</v>
      </c>
      <c r="F425" t="s">
        <v>18</v>
      </c>
      <c r="G425" s="1" t="s">
        <v>37</v>
      </c>
      <c r="H425" t="s">
        <v>62</v>
      </c>
      <c r="I425" s="1" t="s">
        <v>43</v>
      </c>
      <c r="J425" s="1" t="s">
        <v>50</v>
      </c>
      <c r="K425" s="1">
        <v>1</v>
      </c>
      <c r="L425" t="s">
        <v>54</v>
      </c>
      <c r="M425" t="s">
        <v>56</v>
      </c>
      <c r="N425" t="s">
        <v>58</v>
      </c>
      <c r="O425" s="1">
        <v>7</v>
      </c>
      <c r="P425" s="1" t="s">
        <v>60</v>
      </c>
      <c r="Q425" s="10">
        <v>0.94</v>
      </c>
    </row>
    <row r="426" spans="1:17" x14ac:dyDescent="0.35">
      <c r="A426" t="str">
        <f t="shared" si="6"/>
        <v>NOI000425</v>
      </c>
      <c r="B426" s="6">
        <v>45872</v>
      </c>
      <c r="C426" s="1" t="s">
        <v>74</v>
      </c>
      <c r="D426" s="1">
        <v>32</v>
      </c>
      <c r="E426" s="8" t="s">
        <v>79</v>
      </c>
      <c r="F426" t="s">
        <v>27</v>
      </c>
      <c r="G426" s="1" t="s">
        <v>38</v>
      </c>
      <c r="H426" t="s">
        <v>63</v>
      </c>
      <c r="I426" s="1" t="s">
        <v>46</v>
      </c>
      <c r="J426" s="1" t="s">
        <v>50</v>
      </c>
      <c r="K426" s="1">
        <v>1</v>
      </c>
      <c r="L426" t="s">
        <v>54</v>
      </c>
      <c r="M426" t="s">
        <v>56</v>
      </c>
      <c r="N426" t="s">
        <v>58</v>
      </c>
      <c r="O426" s="1">
        <v>6</v>
      </c>
      <c r="P426" s="1" t="s">
        <v>60</v>
      </c>
      <c r="Q426" s="10">
        <v>0.99</v>
      </c>
    </row>
    <row r="427" spans="1:17" x14ac:dyDescent="0.35">
      <c r="A427" t="str">
        <f t="shared" si="6"/>
        <v>NOI000426</v>
      </c>
      <c r="B427" s="6">
        <v>46007</v>
      </c>
      <c r="C427" s="1" t="s">
        <v>71</v>
      </c>
      <c r="D427" s="1">
        <v>51</v>
      </c>
      <c r="E427" s="8" t="s">
        <v>78</v>
      </c>
      <c r="F427" t="s">
        <v>27</v>
      </c>
      <c r="G427" s="1" t="s">
        <v>38</v>
      </c>
      <c r="H427" t="s">
        <v>62</v>
      </c>
      <c r="I427" s="1" t="s">
        <v>46</v>
      </c>
      <c r="J427" s="1" t="s">
        <v>51</v>
      </c>
      <c r="K427" s="1">
        <v>1</v>
      </c>
      <c r="L427" t="s">
        <v>53</v>
      </c>
      <c r="M427" t="s">
        <v>56</v>
      </c>
      <c r="N427" t="s">
        <v>58</v>
      </c>
      <c r="O427" s="1">
        <v>6</v>
      </c>
      <c r="P427" s="1" t="s">
        <v>60</v>
      </c>
      <c r="Q427" s="10">
        <v>0.95</v>
      </c>
    </row>
    <row r="428" spans="1:17" x14ac:dyDescent="0.35">
      <c r="A428" t="str">
        <f t="shared" si="6"/>
        <v>NOI000427</v>
      </c>
      <c r="B428" s="6">
        <v>45954</v>
      </c>
      <c r="C428" s="1" t="s">
        <v>66</v>
      </c>
      <c r="D428" s="1">
        <v>43</v>
      </c>
      <c r="E428" s="8" t="s">
        <v>78</v>
      </c>
      <c r="F428" t="s">
        <v>26</v>
      </c>
      <c r="G428" s="1" t="s">
        <v>39</v>
      </c>
      <c r="H428" t="s">
        <v>62</v>
      </c>
      <c r="I428" s="1" t="s">
        <v>47</v>
      </c>
      <c r="J428" s="1" t="s">
        <v>51</v>
      </c>
      <c r="K428" s="1">
        <v>1</v>
      </c>
      <c r="L428" t="s">
        <v>53</v>
      </c>
      <c r="M428" t="s">
        <v>56</v>
      </c>
      <c r="N428" t="s">
        <v>58</v>
      </c>
      <c r="O428" s="1">
        <v>7</v>
      </c>
      <c r="P428" s="1" t="s">
        <v>60</v>
      </c>
      <c r="Q428" s="10">
        <v>0.97</v>
      </c>
    </row>
    <row r="429" spans="1:17" x14ac:dyDescent="0.35">
      <c r="A429" t="str">
        <f t="shared" si="6"/>
        <v>NOI000428</v>
      </c>
      <c r="B429" s="6">
        <v>45977</v>
      </c>
      <c r="C429" s="1" t="s">
        <v>73</v>
      </c>
      <c r="D429" s="1">
        <v>47</v>
      </c>
      <c r="E429" s="8" t="s">
        <v>78</v>
      </c>
      <c r="F429" t="s">
        <v>23</v>
      </c>
      <c r="G429" s="1" t="s">
        <v>41</v>
      </c>
      <c r="H429" t="s">
        <v>62</v>
      </c>
      <c r="I429" s="1" t="s">
        <v>46</v>
      </c>
      <c r="J429" s="1" t="s">
        <v>50</v>
      </c>
      <c r="K429" s="1">
        <v>1</v>
      </c>
      <c r="L429" t="s">
        <v>53</v>
      </c>
      <c r="M429" t="s">
        <v>56</v>
      </c>
      <c r="N429" t="s">
        <v>58</v>
      </c>
      <c r="O429" s="1">
        <v>6</v>
      </c>
      <c r="P429" s="1" t="s">
        <v>60</v>
      </c>
      <c r="Q429" s="10">
        <v>0.99</v>
      </c>
    </row>
    <row r="430" spans="1:17" x14ac:dyDescent="0.35">
      <c r="A430" t="str">
        <f t="shared" si="6"/>
        <v>NOI000429</v>
      </c>
      <c r="B430" s="6">
        <v>46006</v>
      </c>
      <c r="C430" s="1" t="s">
        <v>71</v>
      </c>
      <c r="D430" s="1">
        <v>51</v>
      </c>
      <c r="E430" s="8" t="s">
        <v>78</v>
      </c>
      <c r="F430" t="s">
        <v>31</v>
      </c>
      <c r="G430" s="1" t="s">
        <v>39</v>
      </c>
      <c r="H430" t="s">
        <v>62</v>
      </c>
      <c r="I430" s="1" t="s">
        <v>44</v>
      </c>
      <c r="J430" s="1" t="s">
        <v>50</v>
      </c>
      <c r="K430" s="1">
        <v>1</v>
      </c>
      <c r="L430" t="s">
        <v>54</v>
      </c>
      <c r="M430" t="s">
        <v>56</v>
      </c>
      <c r="N430" t="s">
        <v>58</v>
      </c>
      <c r="O430" s="1">
        <v>6</v>
      </c>
      <c r="P430" s="1" t="s">
        <v>60</v>
      </c>
      <c r="Q430" s="10">
        <v>0.99</v>
      </c>
    </row>
    <row r="431" spans="1:17" x14ac:dyDescent="0.35">
      <c r="A431" t="str">
        <f t="shared" si="6"/>
        <v>NOI000430</v>
      </c>
      <c r="B431" s="6">
        <v>45829</v>
      </c>
      <c r="C431" s="1" t="s">
        <v>64</v>
      </c>
      <c r="D431" s="1">
        <v>25</v>
      </c>
      <c r="E431" s="8" t="s">
        <v>76</v>
      </c>
      <c r="F431" t="s">
        <v>36</v>
      </c>
      <c r="G431" s="1" t="s">
        <v>37</v>
      </c>
      <c r="H431" t="s">
        <v>62</v>
      </c>
      <c r="I431" s="1" t="s">
        <v>44</v>
      </c>
      <c r="J431" s="1" t="s">
        <v>50</v>
      </c>
      <c r="K431" s="1">
        <v>1</v>
      </c>
      <c r="L431" t="s">
        <v>53</v>
      </c>
      <c r="M431" t="s">
        <v>56</v>
      </c>
      <c r="N431" t="s">
        <v>58</v>
      </c>
      <c r="O431" s="1">
        <v>7</v>
      </c>
      <c r="P431" s="1" t="s">
        <v>60</v>
      </c>
      <c r="Q431" s="10">
        <v>0.96</v>
      </c>
    </row>
    <row r="432" spans="1:17" x14ac:dyDescent="0.35">
      <c r="A432" t="str">
        <f t="shared" si="6"/>
        <v>NOI000431</v>
      </c>
      <c r="B432" s="6">
        <v>45790</v>
      </c>
      <c r="C432" s="1" t="s">
        <v>69</v>
      </c>
      <c r="D432" s="1">
        <v>20</v>
      </c>
      <c r="E432" s="8" t="s">
        <v>76</v>
      </c>
      <c r="F432" t="s">
        <v>35</v>
      </c>
      <c r="G432" s="1" t="s">
        <v>37</v>
      </c>
      <c r="H432" t="s">
        <v>63</v>
      </c>
      <c r="I432" s="1" t="s">
        <v>44</v>
      </c>
      <c r="J432" s="1" t="s">
        <v>51</v>
      </c>
      <c r="K432" s="1">
        <v>1</v>
      </c>
      <c r="L432" t="s">
        <v>54</v>
      </c>
      <c r="M432" t="s">
        <v>56</v>
      </c>
      <c r="N432" t="s">
        <v>58</v>
      </c>
      <c r="O432" s="1">
        <v>7</v>
      </c>
      <c r="P432" s="1" t="s">
        <v>60</v>
      </c>
      <c r="Q432" s="10">
        <v>0.97</v>
      </c>
    </row>
    <row r="433" spans="1:17" x14ac:dyDescent="0.35">
      <c r="A433" t="str">
        <f t="shared" si="6"/>
        <v>NOI000432</v>
      </c>
      <c r="B433" s="6">
        <v>45840</v>
      </c>
      <c r="C433" s="1" t="s">
        <v>70</v>
      </c>
      <c r="D433" s="1">
        <v>27</v>
      </c>
      <c r="E433" s="8" t="s">
        <v>79</v>
      </c>
      <c r="F433" t="s">
        <v>26</v>
      </c>
      <c r="G433" s="1" t="s">
        <v>41</v>
      </c>
      <c r="H433" t="s">
        <v>63</v>
      </c>
      <c r="I433" s="1" t="s">
        <v>46</v>
      </c>
      <c r="J433" s="1" t="s">
        <v>51</v>
      </c>
      <c r="K433" s="1">
        <v>1</v>
      </c>
      <c r="L433" t="s">
        <v>53</v>
      </c>
      <c r="M433" t="s">
        <v>56</v>
      </c>
      <c r="N433" t="s">
        <v>58</v>
      </c>
      <c r="O433" s="1">
        <v>9</v>
      </c>
      <c r="P433" s="1" t="s">
        <v>60</v>
      </c>
      <c r="Q433" s="10">
        <v>0.98</v>
      </c>
    </row>
    <row r="434" spans="1:17" x14ac:dyDescent="0.35">
      <c r="A434" t="str">
        <f t="shared" si="6"/>
        <v>NOI000433</v>
      </c>
      <c r="B434" s="6">
        <v>45822</v>
      </c>
      <c r="C434" s="1" t="s">
        <v>64</v>
      </c>
      <c r="D434" s="1">
        <v>24</v>
      </c>
      <c r="E434" s="8" t="s">
        <v>76</v>
      </c>
      <c r="F434" t="s">
        <v>34</v>
      </c>
      <c r="G434" s="1" t="s">
        <v>40</v>
      </c>
      <c r="H434" t="s">
        <v>62</v>
      </c>
      <c r="I434" s="1" t="s">
        <v>44</v>
      </c>
      <c r="J434" s="1" t="s">
        <v>51</v>
      </c>
      <c r="K434" s="1">
        <v>1</v>
      </c>
      <c r="L434" t="s">
        <v>53</v>
      </c>
      <c r="M434" t="s">
        <v>56</v>
      </c>
      <c r="N434" t="s">
        <v>58</v>
      </c>
      <c r="O434" s="1">
        <v>6</v>
      </c>
      <c r="P434" s="1" t="s">
        <v>60</v>
      </c>
      <c r="Q434" s="10">
        <v>0.96</v>
      </c>
    </row>
    <row r="435" spans="1:17" x14ac:dyDescent="0.35">
      <c r="A435" t="str">
        <f t="shared" si="6"/>
        <v>NOI000434</v>
      </c>
      <c r="B435" s="6">
        <v>45670</v>
      </c>
      <c r="C435" s="1" t="s">
        <v>67</v>
      </c>
      <c r="D435" s="1">
        <v>3</v>
      </c>
      <c r="E435" s="8" t="s">
        <v>77</v>
      </c>
      <c r="F435" t="s">
        <v>26</v>
      </c>
      <c r="G435" s="1" t="s">
        <v>39</v>
      </c>
      <c r="H435" t="s">
        <v>62</v>
      </c>
      <c r="I435" s="1" t="s">
        <v>46</v>
      </c>
      <c r="J435" s="1" t="s">
        <v>50</v>
      </c>
      <c r="K435" s="1">
        <v>1</v>
      </c>
      <c r="L435" t="s">
        <v>53</v>
      </c>
      <c r="M435" t="s">
        <v>56</v>
      </c>
      <c r="N435" t="s">
        <v>58</v>
      </c>
      <c r="O435" s="1">
        <v>10</v>
      </c>
      <c r="P435" s="1" t="s">
        <v>60</v>
      </c>
      <c r="Q435" s="10">
        <v>0.96</v>
      </c>
    </row>
    <row r="436" spans="1:17" x14ac:dyDescent="0.35">
      <c r="A436" t="str">
        <f t="shared" si="6"/>
        <v>NOI000435</v>
      </c>
      <c r="B436" s="6">
        <v>45760</v>
      </c>
      <c r="C436" s="1" t="s">
        <v>68</v>
      </c>
      <c r="D436" s="1">
        <v>16</v>
      </c>
      <c r="E436" s="8" t="s">
        <v>76</v>
      </c>
      <c r="F436" t="s">
        <v>34</v>
      </c>
      <c r="G436" s="1" t="s">
        <v>37</v>
      </c>
      <c r="H436" t="s">
        <v>62</v>
      </c>
      <c r="I436" s="1" t="s">
        <v>42</v>
      </c>
      <c r="J436" s="1" t="s">
        <v>51</v>
      </c>
      <c r="K436" s="1">
        <v>1</v>
      </c>
      <c r="L436" t="s">
        <v>54</v>
      </c>
      <c r="M436" t="s">
        <v>56</v>
      </c>
      <c r="N436" t="s">
        <v>58</v>
      </c>
      <c r="O436" s="1">
        <v>7</v>
      </c>
      <c r="P436" s="1" t="s">
        <v>60</v>
      </c>
      <c r="Q436" s="10">
        <v>0.99</v>
      </c>
    </row>
    <row r="437" spans="1:17" x14ac:dyDescent="0.35">
      <c r="A437" t="str">
        <f t="shared" si="6"/>
        <v>NOI000436</v>
      </c>
      <c r="B437" s="6">
        <v>45681</v>
      </c>
      <c r="C437" s="1" t="s">
        <v>67</v>
      </c>
      <c r="D437" s="1">
        <v>4</v>
      </c>
      <c r="E437" s="8" t="s">
        <v>77</v>
      </c>
      <c r="F437" t="s">
        <v>30</v>
      </c>
      <c r="G437" s="1" t="s">
        <v>40</v>
      </c>
      <c r="H437" t="s">
        <v>62</v>
      </c>
      <c r="I437" s="1" t="s">
        <v>48</v>
      </c>
      <c r="J437" s="1" t="s">
        <v>51</v>
      </c>
      <c r="K437" s="1">
        <v>1</v>
      </c>
      <c r="L437" t="s">
        <v>54</v>
      </c>
      <c r="M437" t="s">
        <v>56</v>
      </c>
      <c r="N437" t="s">
        <v>58</v>
      </c>
      <c r="O437" s="1">
        <v>7</v>
      </c>
      <c r="P437" s="1" t="s">
        <v>60</v>
      </c>
      <c r="Q437" s="10">
        <v>0.95</v>
      </c>
    </row>
    <row r="438" spans="1:17" x14ac:dyDescent="0.35">
      <c r="A438" t="str">
        <f t="shared" si="6"/>
        <v>NOI000437</v>
      </c>
      <c r="B438" s="6">
        <v>45848</v>
      </c>
      <c r="C438" s="1" t="s">
        <v>70</v>
      </c>
      <c r="D438" s="1">
        <v>28</v>
      </c>
      <c r="E438" s="8" t="s">
        <v>79</v>
      </c>
      <c r="F438" t="s">
        <v>35</v>
      </c>
      <c r="G438" s="1" t="s">
        <v>40</v>
      </c>
      <c r="H438" t="s">
        <v>62</v>
      </c>
      <c r="I438" s="1" t="s">
        <v>46</v>
      </c>
      <c r="J438" s="1" t="s">
        <v>51</v>
      </c>
      <c r="K438" s="1">
        <v>1</v>
      </c>
      <c r="L438" t="s">
        <v>54</v>
      </c>
      <c r="M438" t="s">
        <v>57</v>
      </c>
      <c r="N438" t="s">
        <v>58</v>
      </c>
      <c r="O438" s="1">
        <v>8</v>
      </c>
      <c r="P438" s="1" t="s">
        <v>61</v>
      </c>
      <c r="Q438" s="10">
        <v>0.99</v>
      </c>
    </row>
    <row r="439" spans="1:17" x14ac:dyDescent="0.35">
      <c r="A439" t="str">
        <f t="shared" si="6"/>
        <v>NOI000438</v>
      </c>
      <c r="B439" s="6">
        <v>45942</v>
      </c>
      <c r="C439" s="1" t="s">
        <v>66</v>
      </c>
      <c r="D439" s="1">
        <v>42</v>
      </c>
      <c r="E439" s="8" t="s">
        <v>78</v>
      </c>
      <c r="F439" t="s">
        <v>27</v>
      </c>
      <c r="G439" s="1" t="s">
        <v>38</v>
      </c>
      <c r="H439" t="s">
        <v>62</v>
      </c>
      <c r="I439" s="1" t="s">
        <v>43</v>
      </c>
      <c r="J439" s="1" t="s">
        <v>50</v>
      </c>
      <c r="K439" s="1">
        <v>1</v>
      </c>
      <c r="L439" t="s">
        <v>53</v>
      </c>
      <c r="M439" t="s">
        <v>56</v>
      </c>
      <c r="N439" t="s">
        <v>58</v>
      </c>
      <c r="O439" s="1">
        <v>8</v>
      </c>
      <c r="P439" s="1" t="s">
        <v>60</v>
      </c>
      <c r="Q439" s="10">
        <v>0.98</v>
      </c>
    </row>
    <row r="440" spans="1:17" x14ac:dyDescent="0.35">
      <c r="A440" t="str">
        <f t="shared" si="6"/>
        <v>NOI000439</v>
      </c>
      <c r="B440" s="6">
        <v>45668</v>
      </c>
      <c r="C440" s="1" t="s">
        <v>67</v>
      </c>
      <c r="D440" s="1">
        <v>2</v>
      </c>
      <c r="E440" s="8" t="s">
        <v>77</v>
      </c>
      <c r="F440" t="s">
        <v>35</v>
      </c>
      <c r="G440" s="1" t="s">
        <v>40</v>
      </c>
      <c r="H440" t="s">
        <v>63</v>
      </c>
      <c r="I440" s="1" t="s">
        <v>42</v>
      </c>
      <c r="J440" s="1" t="s">
        <v>51</v>
      </c>
      <c r="K440" s="1">
        <v>1</v>
      </c>
      <c r="L440" t="s">
        <v>54</v>
      </c>
      <c r="M440" t="s">
        <v>56</v>
      </c>
      <c r="N440" t="s">
        <v>58</v>
      </c>
      <c r="O440" s="1">
        <v>10</v>
      </c>
      <c r="P440" s="1" t="s">
        <v>60</v>
      </c>
      <c r="Q440" s="10">
        <v>0.98</v>
      </c>
    </row>
    <row r="441" spans="1:17" x14ac:dyDescent="0.35">
      <c r="A441" t="str">
        <f t="shared" si="6"/>
        <v>NOI000440</v>
      </c>
      <c r="B441" s="6">
        <v>45714</v>
      </c>
      <c r="C441" s="1" t="s">
        <v>75</v>
      </c>
      <c r="D441" s="1">
        <v>9</v>
      </c>
      <c r="E441" s="8" t="s">
        <v>77</v>
      </c>
      <c r="F441" t="s">
        <v>31</v>
      </c>
      <c r="G441" s="1" t="s">
        <v>37</v>
      </c>
      <c r="H441" t="s">
        <v>62</v>
      </c>
      <c r="I441" s="1" t="s">
        <v>44</v>
      </c>
      <c r="J441" s="1" t="s">
        <v>51</v>
      </c>
      <c r="K441" s="1">
        <v>1</v>
      </c>
      <c r="L441" t="s">
        <v>53</v>
      </c>
      <c r="M441" t="s">
        <v>56</v>
      </c>
      <c r="N441" t="s">
        <v>58</v>
      </c>
      <c r="O441" s="1">
        <v>6</v>
      </c>
      <c r="P441" s="1" t="s">
        <v>61</v>
      </c>
      <c r="Q441" s="10">
        <v>0.98</v>
      </c>
    </row>
    <row r="442" spans="1:17" x14ac:dyDescent="0.35">
      <c r="A442" t="str">
        <f t="shared" si="6"/>
        <v>NOI000441</v>
      </c>
      <c r="B442" s="6">
        <v>45832</v>
      </c>
      <c r="C442" s="1" t="s">
        <v>64</v>
      </c>
      <c r="D442" s="1">
        <v>26</v>
      </c>
      <c r="E442" s="8" t="s">
        <v>76</v>
      </c>
      <c r="F442" t="s">
        <v>22</v>
      </c>
      <c r="G442" s="1" t="s">
        <v>39</v>
      </c>
      <c r="H442" t="s">
        <v>62</v>
      </c>
      <c r="I442" s="1" t="s">
        <v>43</v>
      </c>
      <c r="J442" s="1" t="s">
        <v>51</v>
      </c>
      <c r="K442" s="1">
        <v>1</v>
      </c>
      <c r="L442" t="s">
        <v>53</v>
      </c>
      <c r="M442" t="s">
        <v>56</v>
      </c>
      <c r="N442" t="s">
        <v>58</v>
      </c>
      <c r="O442" s="1">
        <v>9</v>
      </c>
      <c r="P442" s="1" t="s">
        <v>60</v>
      </c>
      <c r="Q442" s="10">
        <v>0.95</v>
      </c>
    </row>
    <row r="443" spans="1:17" x14ac:dyDescent="0.35">
      <c r="A443" t="str">
        <f t="shared" si="6"/>
        <v>NOI000442</v>
      </c>
      <c r="B443" s="6">
        <v>45865</v>
      </c>
      <c r="C443" s="1" t="s">
        <v>70</v>
      </c>
      <c r="D443" s="1">
        <v>31</v>
      </c>
      <c r="E443" s="8" t="s">
        <v>79</v>
      </c>
      <c r="F443" t="s">
        <v>36</v>
      </c>
      <c r="G443" s="1" t="s">
        <v>40</v>
      </c>
      <c r="H443" t="s">
        <v>63</v>
      </c>
      <c r="I443" s="1" t="s">
        <v>46</v>
      </c>
      <c r="J443" s="1" t="s">
        <v>50</v>
      </c>
      <c r="K443" s="1">
        <v>1</v>
      </c>
      <c r="L443" t="s">
        <v>54</v>
      </c>
      <c r="M443" t="s">
        <v>57</v>
      </c>
      <c r="N443" t="s">
        <v>58</v>
      </c>
      <c r="O443" s="1">
        <v>9</v>
      </c>
      <c r="P443" s="1" t="s">
        <v>60</v>
      </c>
      <c r="Q443" s="10">
        <v>0.94</v>
      </c>
    </row>
    <row r="444" spans="1:17" x14ac:dyDescent="0.35">
      <c r="A444" t="str">
        <f t="shared" si="6"/>
        <v>NOI000443</v>
      </c>
      <c r="B444" s="6">
        <v>45885</v>
      </c>
      <c r="C444" s="1" t="s">
        <v>74</v>
      </c>
      <c r="D444" s="1">
        <v>33</v>
      </c>
      <c r="E444" s="8" t="s">
        <v>79</v>
      </c>
      <c r="F444" t="s">
        <v>27</v>
      </c>
      <c r="G444" s="1" t="s">
        <v>39</v>
      </c>
      <c r="H444" t="s">
        <v>62</v>
      </c>
      <c r="I444" s="1" t="s">
        <v>46</v>
      </c>
      <c r="J444" s="1" t="s">
        <v>51</v>
      </c>
      <c r="K444" s="1">
        <v>1</v>
      </c>
      <c r="L444" t="s">
        <v>53</v>
      </c>
      <c r="M444" t="s">
        <v>56</v>
      </c>
      <c r="N444" t="s">
        <v>58</v>
      </c>
      <c r="O444" s="1">
        <v>7</v>
      </c>
      <c r="P444" s="1" t="s">
        <v>60</v>
      </c>
      <c r="Q444" s="10">
        <v>0.98</v>
      </c>
    </row>
    <row r="445" spans="1:17" x14ac:dyDescent="0.35">
      <c r="A445" t="str">
        <f t="shared" si="6"/>
        <v>NOI000444</v>
      </c>
      <c r="B445" s="6">
        <v>45700</v>
      </c>
      <c r="C445" s="1" t="s">
        <v>75</v>
      </c>
      <c r="D445" s="1">
        <v>7</v>
      </c>
      <c r="E445" s="8" t="s">
        <v>77</v>
      </c>
      <c r="F445" t="s">
        <v>19</v>
      </c>
      <c r="G445" s="1" t="s">
        <v>40</v>
      </c>
      <c r="H445" t="s">
        <v>62</v>
      </c>
      <c r="I445" s="1" t="s">
        <v>47</v>
      </c>
      <c r="J445" s="1" t="s">
        <v>51</v>
      </c>
      <c r="K445" s="1">
        <v>1</v>
      </c>
      <c r="L445" t="s">
        <v>53</v>
      </c>
      <c r="M445" t="s">
        <v>56</v>
      </c>
      <c r="N445" t="s">
        <v>58</v>
      </c>
      <c r="O445" s="1">
        <v>8</v>
      </c>
      <c r="P445" s="1" t="s">
        <v>60</v>
      </c>
      <c r="Q445" s="10">
        <v>0.99</v>
      </c>
    </row>
    <row r="446" spans="1:17" x14ac:dyDescent="0.35">
      <c r="A446" t="str">
        <f t="shared" si="6"/>
        <v>NOI000445</v>
      </c>
      <c r="B446" s="6">
        <v>45975</v>
      </c>
      <c r="C446" s="1" t="s">
        <v>73</v>
      </c>
      <c r="D446" s="1">
        <v>46</v>
      </c>
      <c r="E446" s="8" t="s">
        <v>78</v>
      </c>
      <c r="F446" t="s">
        <v>28</v>
      </c>
      <c r="G446" s="1" t="s">
        <v>39</v>
      </c>
      <c r="H446" t="s">
        <v>63</v>
      </c>
      <c r="I446" s="1" t="s">
        <v>48</v>
      </c>
      <c r="J446" s="1" t="s">
        <v>51</v>
      </c>
      <c r="K446" s="1">
        <v>1</v>
      </c>
      <c r="L446" t="s">
        <v>53</v>
      </c>
      <c r="M446" t="s">
        <v>56</v>
      </c>
      <c r="N446" t="s">
        <v>58</v>
      </c>
      <c r="O446" s="1">
        <v>8</v>
      </c>
      <c r="P446" s="1" t="s">
        <v>60</v>
      </c>
      <c r="Q446" s="10">
        <v>0.94</v>
      </c>
    </row>
    <row r="447" spans="1:17" x14ac:dyDescent="0.35">
      <c r="A447" t="str">
        <f t="shared" si="6"/>
        <v>NOI000446</v>
      </c>
      <c r="B447" s="6">
        <v>46001</v>
      </c>
      <c r="C447" s="1" t="s">
        <v>71</v>
      </c>
      <c r="D447" s="1">
        <v>50</v>
      </c>
      <c r="E447" s="8" t="s">
        <v>78</v>
      </c>
      <c r="F447" t="s">
        <v>34</v>
      </c>
      <c r="G447" s="1" t="s">
        <v>38</v>
      </c>
      <c r="H447" t="s">
        <v>62</v>
      </c>
      <c r="I447" s="1" t="s">
        <v>47</v>
      </c>
      <c r="J447" s="1" t="s">
        <v>50</v>
      </c>
      <c r="K447" s="1">
        <v>1</v>
      </c>
      <c r="L447" t="s">
        <v>54</v>
      </c>
      <c r="M447" t="s">
        <v>56</v>
      </c>
      <c r="N447" t="s">
        <v>58</v>
      </c>
      <c r="O447" s="1">
        <v>9</v>
      </c>
      <c r="P447" s="1" t="s">
        <v>60</v>
      </c>
      <c r="Q447" s="10">
        <v>0.97</v>
      </c>
    </row>
    <row r="448" spans="1:17" x14ac:dyDescent="0.35">
      <c r="A448" t="str">
        <f t="shared" si="6"/>
        <v>NOI000447</v>
      </c>
      <c r="B448" s="6">
        <v>45679</v>
      </c>
      <c r="C448" s="1" t="s">
        <v>67</v>
      </c>
      <c r="D448" s="1">
        <v>4</v>
      </c>
      <c r="E448" s="8" t="s">
        <v>77</v>
      </c>
      <c r="F448" t="s">
        <v>24</v>
      </c>
      <c r="G448" s="1" t="s">
        <v>39</v>
      </c>
      <c r="H448" t="s">
        <v>63</v>
      </c>
      <c r="I448" s="1" t="s">
        <v>49</v>
      </c>
      <c r="J448" s="1" t="s">
        <v>50</v>
      </c>
      <c r="K448" s="1">
        <v>1</v>
      </c>
      <c r="L448" t="s">
        <v>53</v>
      </c>
      <c r="M448" t="s">
        <v>56</v>
      </c>
      <c r="N448" t="s">
        <v>58</v>
      </c>
      <c r="O448" s="1">
        <v>10</v>
      </c>
      <c r="P448" s="1" t="s">
        <v>60</v>
      </c>
      <c r="Q448" s="10">
        <v>0.99</v>
      </c>
    </row>
    <row r="449" spans="1:17" x14ac:dyDescent="0.35">
      <c r="A449" t="str">
        <f t="shared" si="6"/>
        <v>NOI000448</v>
      </c>
      <c r="B449" s="6">
        <v>45885</v>
      </c>
      <c r="C449" s="1" t="s">
        <v>74</v>
      </c>
      <c r="D449" s="1">
        <v>33</v>
      </c>
      <c r="E449" s="8" t="s">
        <v>79</v>
      </c>
      <c r="F449" t="s">
        <v>22</v>
      </c>
      <c r="G449" s="1" t="s">
        <v>40</v>
      </c>
      <c r="H449" t="s">
        <v>63</v>
      </c>
      <c r="I449" s="1" t="s">
        <v>49</v>
      </c>
      <c r="J449" s="1" t="s">
        <v>51</v>
      </c>
      <c r="K449" s="1">
        <v>1</v>
      </c>
      <c r="L449" t="s">
        <v>53</v>
      </c>
      <c r="M449" t="s">
        <v>56</v>
      </c>
      <c r="N449" t="s">
        <v>58</v>
      </c>
      <c r="O449" s="1">
        <v>6</v>
      </c>
      <c r="P449" s="1" t="s">
        <v>60</v>
      </c>
      <c r="Q449" s="10">
        <v>0.96</v>
      </c>
    </row>
    <row r="450" spans="1:17" x14ac:dyDescent="0.35">
      <c r="A450" t="str">
        <f t="shared" ref="A450:A501" si="7">"NOI"&amp;TEXT(ROW()-1,"000000")</f>
        <v>NOI000449</v>
      </c>
      <c r="B450" s="6">
        <v>45839</v>
      </c>
      <c r="C450" s="1" t="s">
        <v>70</v>
      </c>
      <c r="D450" s="1">
        <v>27</v>
      </c>
      <c r="E450" s="8" t="s">
        <v>79</v>
      </c>
      <c r="F450" t="s">
        <v>35</v>
      </c>
      <c r="G450" s="1" t="s">
        <v>37</v>
      </c>
      <c r="H450" t="s">
        <v>63</v>
      </c>
      <c r="I450" s="1" t="s">
        <v>48</v>
      </c>
      <c r="J450" s="1" t="s">
        <v>51</v>
      </c>
      <c r="K450" s="1">
        <v>1</v>
      </c>
      <c r="L450" t="s">
        <v>53</v>
      </c>
      <c r="M450" t="s">
        <v>56</v>
      </c>
      <c r="N450" t="s">
        <v>58</v>
      </c>
      <c r="O450" s="1">
        <v>6</v>
      </c>
      <c r="P450" s="1" t="s">
        <v>61</v>
      </c>
      <c r="Q450" s="10">
        <v>0.95</v>
      </c>
    </row>
    <row r="451" spans="1:17" x14ac:dyDescent="0.35">
      <c r="A451" t="str">
        <f t="shared" si="7"/>
        <v>NOI000450</v>
      </c>
      <c r="B451" s="6">
        <v>45890</v>
      </c>
      <c r="C451" s="1" t="s">
        <v>74</v>
      </c>
      <c r="D451" s="1">
        <v>34</v>
      </c>
      <c r="E451" s="8" t="s">
        <v>79</v>
      </c>
      <c r="F451" t="s">
        <v>36</v>
      </c>
      <c r="G451" s="1" t="s">
        <v>39</v>
      </c>
      <c r="H451" t="s">
        <v>62</v>
      </c>
      <c r="I451" s="1" t="s">
        <v>46</v>
      </c>
      <c r="J451" s="1" t="s">
        <v>50</v>
      </c>
      <c r="K451" s="1">
        <v>1</v>
      </c>
      <c r="L451" t="s">
        <v>54</v>
      </c>
      <c r="M451" t="s">
        <v>56</v>
      </c>
      <c r="N451" t="s">
        <v>58</v>
      </c>
      <c r="O451" s="1">
        <v>10</v>
      </c>
      <c r="P451" s="1" t="s">
        <v>60</v>
      </c>
      <c r="Q451" s="10">
        <v>0.99</v>
      </c>
    </row>
    <row r="452" spans="1:17" x14ac:dyDescent="0.35">
      <c r="A452" t="str">
        <f t="shared" si="7"/>
        <v>NOI000451</v>
      </c>
      <c r="B452" s="6">
        <v>45792</v>
      </c>
      <c r="C452" s="1" t="s">
        <v>69</v>
      </c>
      <c r="D452" s="1">
        <v>20</v>
      </c>
      <c r="E452" s="8" t="s">
        <v>76</v>
      </c>
      <c r="F452" t="s">
        <v>36</v>
      </c>
      <c r="G452" s="1" t="s">
        <v>38</v>
      </c>
      <c r="H452" t="s">
        <v>63</v>
      </c>
      <c r="I452" s="1" t="s">
        <v>49</v>
      </c>
      <c r="J452" s="1" t="s">
        <v>51</v>
      </c>
      <c r="K452" s="1">
        <v>1</v>
      </c>
      <c r="L452" t="s">
        <v>53</v>
      </c>
      <c r="M452" t="s">
        <v>56</v>
      </c>
      <c r="N452" t="s">
        <v>58</v>
      </c>
      <c r="O452" s="1">
        <v>9</v>
      </c>
      <c r="P452" s="1" t="s">
        <v>60</v>
      </c>
      <c r="Q452" s="10">
        <v>0.97</v>
      </c>
    </row>
    <row r="453" spans="1:17" x14ac:dyDescent="0.35">
      <c r="A453" t="str">
        <f t="shared" si="7"/>
        <v>NOI000452</v>
      </c>
      <c r="B453" s="6">
        <v>45984</v>
      </c>
      <c r="C453" s="1" t="s">
        <v>73</v>
      </c>
      <c r="D453" s="1">
        <v>48</v>
      </c>
      <c r="E453" s="8" t="s">
        <v>78</v>
      </c>
      <c r="F453" t="s">
        <v>27</v>
      </c>
      <c r="G453" s="1" t="s">
        <v>41</v>
      </c>
      <c r="H453" t="s">
        <v>63</v>
      </c>
      <c r="I453" s="1" t="s">
        <v>46</v>
      </c>
      <c r="J453" s="1" t="s">
        <v>50</v>
      </c>
      <c r="K453" s="1">
        <v>1</v>
      </c>
      <c r="L453" t="s">
        <v>54</v>
      </c>
      <c r="M453" t="s">
        <v>56</v>
      </c>
      <c r="N453" t="s">
        <v>58</v>
      </c>
      <c r="O453" s="1">
        <v>8</v>
      </c>
      <c r="P453" s="1" t="s">
        <v>60</v>
      </c>
      <c r="Q453" s="10">
        <v>0.98</v>
      </c>
    </row>
    <row r="454" spans="1:17" x14ac:dyDescent="0.35">
      <c r="A454" t="str">
        <f t="shared" si="7"/>
        <v>NOI000453</v>
      </c>
      <c r="B454" s="6">
        <v>45912</v>
      </c>
      <c r="C454" s="1" t="s">
        <v>72</v>
      </c>
      <c r="D454" s="1">
        <v>37</v>
      </c>
      <c r="E454" s="8" t="s">
        <v>79</v>
      </c>
      <c r="F454" t="s">
        <v>32</v>
      </c>
      <c r="G454" s="1" t="s">
        <v>37</v>
      </c>
      <c r="H454" t="s">
        <v>63</v>
      </c>
      <c r="I454" s="1" t="s">
        <v>46</v>
      </c>
      <c r="J454" s="1" t="s">
        <v>50</v>
      </c>
      <c r="K454" s="1">
        <v>1</v>
      </c>
      <c r="L454" t="s">
        <v>53</v>
      </c>
      <c r="M454" t="s">
        <v>56</v>
      </c>
      <c r="N454" t="s">
        <v>58</v>
      </c>
      <c r="O454" s="1">
        <v>6</v>
      </c>
      <c r="P454" s="1" t="s">
        <v>60</v>
      </c>
      <c r="Q454" s="10">
        <v>0.98</v>
      </c>
    </row>
    <row r="455" spans="1:17" x14ac:dyDescent="0.35">
      <c r="A455" t="str">
        <f t="shared" si="7"/>
        <v>NOI000454</v>
      </c>
      <c r="B455" s="6">
        <v>45989</v>
      </c>
      <c r="C455" s="1" t="s">
        <v>73</v>
      </c>
      <c r="D455" s="1">
        <v>48</v>
      </c>
      <c r="E455" s="8" t="s">
        <v>78</v>
      </c>
      <c r="F455" t="s">
        <v>29</v>
      </c>
      <c r="G455" s="1" t="s">
        <v>39</v>
      </c>
      <c r="H455" t="s">
        <v>63</v>
      </c>
      <c r="I455" s="1" t="s">
        <v>42</v>
      </c>
      <c r="J455" s="1" t="s">
        <v>51</v>
      </c>
      <c r="K455" s="1">
        <v>1</v>
      </c>
      <c r="L455" t="s">
        <v>54</v>
      </c>
      <c r="M455" t="s">
        <v>56</v>
      </c>
      <c r="N455" t="s">
        <v>58</v>
      </c>
      <c r="O455" s="1">
        <v>10</v>
      </c>
      <c r="P455" s="1" t="s">
        <v>60</v>
      </c>
      <c r="Q455" s="10">
        <v>0.97</v>
      </c>
    </row>
    <row r="456" spans="1:17" x14ac:dyDescent="0.35">
      <c r="A456" t="str">
        <f t="shared" si="7"/>
        <v>NOI000455</v>
      </c>
      <c r="B456" s="6">
        <v>45873</v>
      </c>
      <c r="C456" s="1" t="s">
        <v>74</v>
      </c>
      <c r="D456" s="1">
        <v>32</v>
      </c>
      <c r="E456" s="8" t="s">
        <v>79</v>
      </c>
      <c r="F456" t="s">
        <v>31</v>
      </c>
      <c r="G456" s="1" t="s">
        <v>40</v>
      </c>
      <c r="H456" t="s">
        <v>62</v>
      </c>
      <c r="I456" s="1" t="s">
        <v>44</v>
      </c>
      <c r="J456" s="1" t="s">
        <v>50</v>
      </c>
      <c r="K456" s="1">
        <v>1</v>
      </c>
      <c r="L456" t="s">
        <v>53</v>
      </c>
      <c r="M456" t="s">
        <v>56</v>
      </c>
      <c r="N456" t="s">
        <v>58</v>
      </c>
      <c r="O456" s="1">
        <v>10</v>
      </c>
      <c r="P456" s="1" t="s">
        <v>60</v>
      </c>
      <c r="Q456" s="10">
        <v>0.96</v>
      </c>
    </row>
    <row r="457" spans="1:17" x14ac:dyDescent="0.35">
      <c r="A457" t="str">
        <f t="shared" si="7"/>
        <v>NOI000456</v>
      </c>
      <c r="B457" s="6">
        <v>45857</v>
      </c>
      <c r="C457" s="1" t="s">
        <v>70</v>
      </c>
      <c r="D457" s="1">
        <v>29</v>
      </c>
      <c r="E457" s="8" t="s">
        <v>79</v>
      </c>
      <c r="F457" t="s">
        <v>36</v>
      </c>
      <c r="G457" s="1" t="s">
        <v>37</v>
      </c>
      <c r="H457" t="s">
        <v>63</v>
      </c>
      <c r="I457" s="1" t="s">
        <v>45</v>
      </c>
      <c r="J457" s="1" t="s">
        <v>51</v>
      </c>
      <c r="K457" s="1">
        <v>1</v>
      </c>
      <c r="L457" t="s">
        <v>54</v>
      </c>
      <c r="M457" t="s">
        <v>56</v>
      </c>
      <c r="N457" t="s">
        <v>58</v>
      </c>
      <c r="O457" s="1">
        <v>7</v>
      </c>
      <c r="P457" s="1" t="s">
        <v>60</v>
      </c>
      <c r="Q457" s="10">
        <v>0.98</v>
      </c>
    </row>
    <row r="458" spans="1:17" x14ac:dyDescent="0.35">
      <c r="A458" t="str">
        <f t="shared" si="7"/>
        <v>NOI000457</v>
      </c>
      <c r="B458" s="6">
        <v>45666</v>
      </c>
      <c r="C458" s="1" t="s">
        <v>67</v>
      </c>
      <c r="D458" s="1">
        <v>2</v>
      </c>
      <c r="E458" s="8" t="s">
        <v>77</v>
      </c>
      <c r="F458" t="s">
        <v>36</v>
      </c>
      <c r="G458" s="1" t="s">
        <v>40</v>
      </c>
      <c r="H458" t="s">
        <v>63</v>
      </c>
      <c r="I458" s="1" t="s">
        <v>43</v>
      </c>
      <c r="J458" s="1" t="s">
        <v>51</v>
      </c>
      <c r="K458" s="1">
        <v>1</v>
      </c>
      <c r="L458" t="s">
        <v>53</v>
      </c>
      <c r="M458" t="s">
        <v>56</v>
      </c>
      <c r="N458" t="s">
        <v>58</v>
      </c>
      <c r="O458" s="1">
        <v>10</v>
      </c>
      <c r="P458" s="1" t="s">
        <v>60</v>
      </c>
      <c r="Q458" s="10">
        <v>0.95</v>
      </c>
    </row>
    <row r="459" spans="1:17" x14ac:dyDescent="0.35">
      <c r="A459" t="str">
        <f t="shared" si="7"/>
        <v>NOI000458</v>
      </c>
      <c r="B459" s="6">
        <v>45792</v>
      </c>
      <c r="C459" s="1" t="s">
        <v>69</v>
      </c>
      <c r="D459" s="1">
        <v>20</v>
      </c>
      <c r="E459" s="8" t="s">
        <v>76</v>
      </c>
      <c r="F459" t="s">
        <v>31</v>
      </c>
      <c r="G459" s="1" t="s">
        <v>40</v>
      </c>
      <c r="H459" t="s">
        <v>62</v>
      </c>
      <c r="I459" s="1" t="s">
        <v>44</v>
      </c>
      <c r="J459" s="1" t="s">
        <v>50</v>
      </c>
      <c r="K459" s="1">
        <v>1</v>
      </c>
      <c r="L459" t="s">
        <v>53</v>
      </c>
      <c r="M459" t="s">
        <v>56</v>
      </c>
      <c r="N459" t="s">
        <v>58</v>
      </c>
      <c r="O459" s="1">
        <v>6</v>
      </c>
      <c r="P459" s="1" t="s">
        <v>61</v>
      </c>
      <c r="Q459" s="10">
        <v>0.99</v>
      </c>
    </row>
    <row r="460" spans="1:17" x14ac:dyDescent="0.35">
      <c r="A460" t="str">
        <f t="shared" si="7"/>
        <v>NOI000459</v>
      </c>
      <c r="B460" s="6">
        <v>45858</v>
      </c>
      <c r="C460" s="1" t="s">
        <v>70</v>
      </c>
      <c r="D460" s="1">
        <v>30</v>
      </c>
      <c r="E460" s="8" t="s">
        <v>79</v>
      </c>
      <c r="F460" t="s">
        <v>28</v>
      </c>
      <c r="G460" s="1" t="s">
        <v>37</v>
      </c>
      <c r="H460" t="s">
        <v>62</v>
      </c>
      <c r="I460" s="1" t="s">
        <v>42</v>
      </c>
      <c r="J460" s="1" t="s">
        <v>51</v>
      </c>
      <c r="K460" s="1">
        <v>1</v>
      </c>
      <c r="L460" t="s">
        <v>54</v>
      </c>
      <c r="M460" t="s">
        <v>56</v>
      </c>
      <c r="N460" t="s">
        <v>58</v>
      </c>
      <c r="O460" s="1">
        <v>10</v>
      </c>
      <c r="P460" s="1" t="s">
        <v>60</v>
      </c>
      <c r="Q460" s="10">
        <v>0.95</v>
      </c>
    </row>
    <row r="461" spans="1:17" x14ac:dyDescent="0.35">
      <c r="A461" t="str">
        <f t="shared" si="7"/>
        <v>NOI000460</v>
      </c>
      <c r="B461" s="6">
        <v>45793</v>
      </c>
      <c r="C461" s="1" t="s">
        <v>69</v>
      </c>
      <c r="D461" s="1">
        <v>20</v>
      </c>
      <c r="E461" s="8" t="s">
        <v>76</v>
      </c>
      <c r="F461" t="s">
        <v>35</v>
      </c>
      <c r="G461" s="1" t="s">
        <v>38</v>
      </c>
      <c r="H461" t="s">
        <v>63</v>
      </c>
      <c r="I461" s="1" t="s">
        <v>48</v>
      </c>
      <c r="J461" s="1" t="s">
        <v>50</v>
      </c>
      <c r="K461" s="1">
        <v>1</v>
      </c>
      <c r="L461" t="s">
        <v>53</v>
      </c>
      <c r="M461" t="s">
        <v>56</v>
      </c>
      <c r="N461" t="s">
        <v>58</v>
      </c>
      <c r="O461" s="1">
        <v>10</v>
      </c>
      <c r="P461" s="1" t="s">
        <v>61</v>
      </c>
      <c r="Q461" s="10">
        <v>0.94</v>
      </c>
    </row>
    <row r="462" spans="1:17" x14ac:dyDescent="0.35">
      <c r="A462" t="str">
        <f t="shared" si="7"/>
        <v>NOI000461</v>
      </c>
      <c r="B462" s="6">
        <v>45926</v>
      </c>
      <c r="C462" s="1" t="s">
        <v>72</v>
      </c>
      <c r="D462" s="1">
        <v>39</v>
      </c>
      <c r="E462" s="8" t="s">
        <v>79</v>
      </c>
      <c r="F462" t="s">
        <v>26</v>
      </c>
      <c r="G462" s="1" t="s">
        <v>41</v>
      </c>
      <c r="H462" t="s">
        <v>63</v>
      </c>
      <c r="I462" s="1" t="s">
        <v>48</v>
      </c>
      <c r="J462" s="1" t="s">
        <v>50</v>
      </c>
      <c r="K462" s="1">
        <v>1</v>
      </c>
      <c r="L462" t="s">
        <v>54</v>
      </c>
      <c r="M462" t="s">
        <v>56</v>
      </c>
      <c r="N462" t="s">
        <v>58</v>
      </c>
      <c r="O462" s="1">
        <v>8</v>
      </c>
      <c r="P462" s="1" t="s">
        <v>61</v>
      </c>
      <c r="Q462" s="10">
        <v>0.96</v>
      </c>
    </row>
    <row r="463" spans="1:17" x14ac:dyDescent="0.35">
      <c r="A463" t="str">
        <f t="shared" si="7"/>
        <v>NOI000462</v>
      </c>
      <c r="B463" s="6">
        <v>45828</v>
      </c>
      <c r="C463" s="1" t="s">
        <v>64</v>
      </c>
      <c r="D463" s="1">
        <v>25</v>
      </c>
      <c r="E463" s="8" t="s">
        <v>76</v>
      </c>
      <c r="F463" t="s">
        <v>28</v>
      </c>
      <c r="G463" s="1" t="s">
        <v>41</v>
      </c>
      <c r="H463" t="s">
        <v>62</v>
      </c>
      <c r="I463" s="1" t="s">
        <v>49</v>
      </c>
      <c r="J463" s="1" t="s">
        <v>50</v>
      </c>
      <c r="K463" s="1">
        <v>1</v>
      </c>
      <c r="L463" t="s">
        <v>53</v>
      </c>
      <c r="M463" t="s">
        <v>56</v>
      </c>
      <c r="N463" t="s">
        <v>58</v>
      </c>
      <c r="O463" s="1">
        <v>7</v>
      </c>
      <c r="P463" s="1" t="s">
        <v>60</v>
      </c>
      <c r="Q463" s="10">
        <v>0.96</v>
      </c>
    </row>
    <row r="464" spans="1:17" x14ac:dyDescent="0.35">
      <c r="A464" t="str">
        <f t="shared" si="7"/>
        <v>NOI000463</v>
      </c>
      <c r="B464" s="6">
        <v>45860</v>
      </c>
      <c r="C464" s="1" t="s">
        <v>70</v>
      </c>
      <c r="D464" s="1">
        <v>30</v>
      </c>
      <c r="E464" s="8" t="s">
        <v>79</v>
      </c>
      <c r="F464" t="s">
        <v>35</v>
      </c>
      <c r="G464" s="1" t="s">
        <v>39</v>
      </c>
      <c r="H464" t="s">
        <v>63</v>
      </c>
      <c r="I464" s="1" t="s">
        <v>43</v>
      </c>
      <c r="J464" s="1" t="s">
        <v>51</v>
      </c>
      <c r="K464" s="1">
        <v>1</v>
      </c>
      <c r="L464" t="s">
        <v>53</v>
      </c>
      <c r="M464" t="s">
        <v>56</v>
      </c>
      <c r="N464" t="s">
        <v>58</v>
      </c>
      <c r="O464" s="1">
        <v>10</v>
      </c>
      <c r="P464" s="1" t="s">
        <v>60</v>
      </c>
      <c r="Q464" s="10">
        <v>0.95</v>
      </c>
    </row>
    <row r="465" spans="1:17" x14ac:dyDescent="0.35">
      <c r="A465" t="str">
        <f t="shared" si="7"/>
        <v>NOI000464</v>
      </c>
      <c r="B465" s="6">
        <v>45950</v>
      </c>
      <c r="C465" s="1" t="s">
        <v>66</v>
      </c>
      <c r="D465" s="1">
        <v>43</v>
      </c>
      <c r="E465" s="8" t="s">
        <v>78</v>
      </c>
      <c r="F465" t="s">
        <v>36</v>
      </c>
      <c r="G465" s="1" t="s">
        <v>37</v>
      </c>
      <c r="H465" t="s">
        <v>62</v>
      </c>
      <c r="I465" s="1" t="s">
        <v>46</v>
      </c>
      <c r="J465" s="1" t="s">
        <v>50</v>
      </c>
      <c r="K465" s="1">
        <v>1</v>
      </c>
      <c r="L465" t="s">
        <v>54</v>
      </c>
      <c r="M465" t="s">
        <v>56</v>
      </c>
      <c r="N465" t="s">
        <v>58</v>
      </c>
      <c r="O465" s="1">
        <v>10</v>
      </c>
      <c r="P465" s="1" t="s">
        <v>61</v>
      </c>
      <c r="Q465" s="10">
        <v>0.99</v>
      </c>
    </row>
    <row r="466" spans="1:17" x14ac:dyDescent="0.35">
      <c r="A466" t="str">
        <f t="shared" si="7"/>
        <v>NOI000465</v>
      </c>
      <c r="B466" s="6">
        <v>45679</v>
      </c>
      <c r="C466" s="1" t="s">
        <v>67</v>
      </c>
      <c r="D466" s="1">
        <v>4</v>
      </c>
      <c r="E466" s="8" t="s">
        <v>77</v>
      </c>
      <c r="F466" t="s">
        <v>22</v>
      </c>
      <c r="G466" s="1" t="s">
        <v>37</v>
      </c>
      <c r="H466" t="s">
        <v>62</v>
      </c>
      <c r="I466" s="1" t="s">
        <v>43</v>
      </c>
      <c r="J466" s="1" t="s">
        <v>50</v>
      </c>
      <c r="K466" s="1">
        <v>1</v>
      </c>
      <c r="L466" t="s">
        <v>53</v>
      </c>
      <c r="M466" t="s">
        <v>56</v>
      </c>
      <c r="N466" t="s">
        <v>58</v>
      </c>
      <c r="O466" s="1">
        <v>6</v>
      </c>
      <c r="P466" s="1" t="s">
        <v>60</v>
      </c>
      <c r="Q466" s="10">
        <v>0.99</v>
      </c>
    </row>
    <row r="467" spans="1:17" x14ac:dyDescent="0.35">
      <c r="A467" t="str">
        <f t="shared" si="7"/>
        <v>NOI000466</v>
      </c>
      <c r="B467" s="6">
        <v>45825</v>
      </c>
      <c r="C467" s="1" t="s">
        <v>64</v>
      </c>
      <c r="D467" s="1">
        <v>25</v>
      </c>
      <c r="E467" s="8" t="s">
        <v>76</v>
      </c>
      <c r="F467" t="s">
        <v>24</v>
      </c>
      <c r="G467" s="1" t="s">
        <v>41</v>
      </c>
      <c r="H467" t="s">
        <v>62</v>
      </c>
      <c r="I467" s="1" t="s">
        <v>48</v>
      </c>
      <c r="J467" s="1" t="s">
        <v>51</v>
      </c>
      <c r="K467" s="1">
        <v>1</v>
      </c>
      <c r="L467" t="s">
        <v>53</v>
      </c>
      <c r="M467" t="s">
        <v>56</v>
      </c>
      <c r="N467" t="s">
        <v>58</v>
      </c>
      <c r="O467" s="1">
        <v>7</v>
      </c>
      <c r="P467" s="1" t="s">
        <v>61</v>
      </c>
      <c r="Q467" s="10">
        <v>0.95</v>
      </c>
    </row>
    <row r="468" spans="1:17" x14ac:dyDescent="0.35">
      <c r="A468" t="str">
        <f t="shared" si="7"/>
        <v>NOI000467</v>
      </c>
      <c r="B468" s="6">
        <v>45719</v>
      </c>
      <c r="C468" s="1" t="s">
        <v>65</v>
      </c>
      <c r="D468" s="1">
        <v>10</v>
      </c>
      <c r="E468" s="8" t="s">
        <v>77</v>
      </c>
      <c r="F468" t="s">
        <v>35</v>
      </c>
      <c r="G468" s="1" t="s">
        <v>38</v>
      </c>
      <c r="H468" t="s">
        <v>62</v>
      </c>
      <c r="I468" s="1" t="s">
        <v>44</v>
      </c>
      <c r="J468" s="1" t="s">
        <v>50</v>
      </c>
      <c r="K468" s="1">
        <v>1</v>
      </c>
      <c r="L468" t="s">
        <v>54</v>
      </c>
      <c r="M468" t="s">
        <v>56</v>
      </c>
      <c r="N468" t="s">
        <v>58</v>
      </c>
      <c r="O468" s="1">
        <v>6</v>
      </c>
      <c r="P468" s="1" t="s">
        <v>60</v>
      </c>
      <c r="Q468" s="10">
        <v>0.94</v>
      </c>
    </row>
    <row r="469" spans="1:17" x14ac:dyDescent="0.35">
      <c r="A469" t="str">
        <f t="shared" si="7"/>
        <v>NOI000468</v>
      </c>
      <c r="B469" s="6">
        <v>45965</v>
      </c>
      <c r="C469" s="1" t="s">
        <v>73</v>
      </c>
      <c r="D469" s="1">
        <v>45</v>
      </c>
      <c r="E469" s="8" t="s">
        <v>78</v>
      </c>
      <c r="F469" t="s">
        <v>17</v>
      </c>
      <c r="G469" s="1" t="s">
        <v>38</v>
      </c>
      <c r="H469" t="s">
        <v>62</v>
      </c>
      <c r="I469" s="1" t="s">
        <v>48</v>
      </c>
      <c r="J469" s="1" t="s">
        <v>50</v>
      </c>
      <c r="K469" s="1">
        <v>1</v>
      </c>
      <c r="L469" t="s">
        <v>54</v>
      </c>
      <c r="M469" t="s">
        <v>56</v>
      </c>
      <c r="N469" t="s">
        <v>58</v>
      </c>
      <c r="O469" s="1">
        <v>9</v>
      </c>
      <c r="P469" s="1" t="s">
        <v>60</v>
      </c>
      <c r="Q469" s="10">
        <v>0.94</v>
      </c>
    </row>
    <row r="470" spans="1:17" x14ac:dyDescent="0.35">
      <c r="A470" t="str">
        <f t="shared" si="7"/>
        <v>NOI000469</v>
      </c>
      <c r="B470" s="6">
        <v>45773</v>
      </c>
      <c r="C470" s="1" t="s">
        <v>68</v>
      </c>
      <c r="D470" s="1">
        <v>17</v>
      </c>
      <c r="E470" s="8" t="s">
        <v>76</v>
      </c>
      <c r="F470" t="s">
        <v>25</v>
      </c>
      <c r="G470" s="1" t="s">
        <v>39</v>
      </c>
      <c r="H470" t="s">
        <v>62</v>
      </c>
      <c r="I470" s="1" t="s">
        <v>48</v>
      </c>
      <c r="J470" s="1" t="s">
        <v>51</v>
      </c>
      <c r="K470" s="1">
        <v>1</v>
      </c>
      <c r="L470" t="s">
        <v>53</v>
      </c>
      <c r="M470" t="s">
        <v>56</v>
      </c>
      <c r="N470" t="s">
        <v>58</v>
      </c>
      <c r="O470" s="1">
        <v>10</v>
      </c>
      <c r="P470" s="1" t="s">
        <v>60</v>
      </c>
      <c r="Q470" s="10">
        <v>0.96</v>
      </c>
    </row>
    <row r="471" spans="1:17" x14ac:dyDescent="0.35">
      <c r="A471" t="str">
        <f t="shared" si="7"/>
        <v>NOI000470</v>
      </c>
      <c r="B471" s="6">
        <v>45701</v>
      </c>
      <c r="C471" s="1" t="s">
        <v>75</v>
      </c>
      <c r="D471" s="1">
        <v>7</v>
      </c>
      <c r="E471" s="8" t="s">
        <v>77</v>
      </c>
      <c r="F471" t="s">
        <v>27</v>
      </c>
      <c r="G471" s="1" t="s">
        <v>37</v>
      </c>
      <c r="H471" t="s">
        <v>62</v>
      </c>
      <c r="I471" s="1" t="s">
        <v>44</v>
      </c>
      <c r="J471" s="1" t="s">
        <v>50</v>
      </c>
      <c r="K471" s="1">
        <v>1</v>
      </c>
      <c r="L471" t="s">
        <v>54</v>
      </c>
      <c r="M471" t="s">
        <v>56</v>
      </c>
      <c r="N471" t="s">
        <v>58</v>
      </c>
      <c r="O471" s="1">
        <v>10</v>
      </c>
      <c r="P471" s="1" t="s">
        <v>60</v>
      </c>
      <c r="Q471" s="10">
        <v>0.98</v>
      </c>
    </row>
    <row r="472" spans="1:17" x14ac:dyDescent="0.35">
      <c r="A472" t="str">
        <f t="shared" si="7"/>
        <v>NOI000471</v>
      </c>
      <c r="B472" s="6">
        <v>45661</v>
      </c>
      <c r="C472" s="1" t="s">
        <v>67</v>
      </c>
      <c r="D472" s="1">
        <v>1</v>
      </c>
      <c r="E472" s="8" t="s">
        <v>77</v>
      </c>
      <c r="F472" t="s">
        <v>25</v>
      </c>
      <c r="G472" s="1" t="s">
        <v>40</v>
      </c>
      <c r="H472" t="s">
        <v>63</v>
      </c>
      <c r="I472" s="1" t="s">
        <v>45</v>
      </c>
      <c r="J472" s="1" t="s">
        <v>50</v>
      </c>
      <c r="K472" s="1">
        <v>1</v>
      </c>
      <c r="L472" t="s">
        <v>53</v>
      </c>
      <c r="M472" t="s">
        <v>56</v>
      </c>
      <c r="N472" t="s">
        <v>58</v>
      </c>
      <c r="O472" s="1">
        <v>10</v>
      </c>
      <c r="P472" s="1" t="s">
        <v>60</v>
      </c>
      <c r="Q472" s="10">
        <v>0.95</v>
      </c>
    </row>
    <row r="473" spans="1:17" x14ac:dyDescent="0.35">
      <c r="A473" t="str">
        <f t="shared" si="7"/>
        <v>NOI000472</v>
      </c>
      <c r="B473" s="6">
        <v>45852</v>
      </c>
      <c r="C473" s="1" t="s">
        <v>70</v>
      </c>
      <c r="D473" s="1">
        <v>29</v>
      </c>
      <c r="E473" s="8" t="s">
        <v>79</v>
      </c>
      <c r="F473" t="s">
        <v>35</v>
      </c>
      <c r="G473" s="1" t="s">
        <v>37</v>
      </c>
      <c r="H473" t="s">
        <v>62</v>
      </c>
      <c r="I473" s="1" t="s">
        <v>49</v>
      </c>
      <c r="J473" s="1" t="s">
        <v>50</v>
      </c>
      <c r="K473" s="1">
        <v>1</v>
      </c>
      <c r="L473" t="s">
        <v>53</v>
      </c>
      <c r="M473" t="s">
        <v>56</v>
      </c>
      <c r="N473" t="s">
        <v>58</v>
      </c>
      <c r="O473" s="1">
        <v>9</v>
      </c>
      <c r="P473" s="1" t="s">
        <v>60</v>
      </c>
      <c r="Q473" s="10">
        <v>0.99</v>
      </c>
    </row>
    <row r="474" spans="1:17" x14ac:dyDescent="0.35">
      <c r="A474" t="str">
        <f t="shared" si="7"/>
        <v>NOI000473</v>
      </c>
      <c r="B474" s="6">
        <v>45664</v>
      </c>
      <c r="C474" s="1" t="s">
        <v>67</v>
      </c>
      <c r="D474" s="1">
        <v>2</v>
      </c>
      <c r="E474" s="8" t="s">
        <v>77</v>
      </c>
      <c r="F474" t="s">
        <v>32</v>
      </c>
      <c r="G474" s="1" t="s">
        <v>40</v>
      </c>
      <c r="H474" t="s">
        <v>62</v>
      </c>
      <c r="I474" s="1" t="s">
        <v>48</v>
      </c>
      <c r="J474" s="1" t="s">
        <v>50</v>
      </c>
      <c r="K474" s="1">
        <v>1</v>
      </c>
      <c r="L474" t="s">
        <v>53</v>
      </c>
      <c r="M474" t="s">
        <v>56</v>
      </c>
      <c r="N474" t="s">
        <v>58</v>
      </c>
      <c r="O474" s="1">
        <v>7</v>
      </c>
      <c r="P474" s="1" t="s">
        <v>61</v>
      </c>
      <c r="Q474" s="10">
        <v>0.95</v>
      </c>
    </row>
    <row r="475" spans="1:17" x14ac:dyDescent="0.35">
      <c r="A475" t="str">
        <f t="shared" si="7"/>
        <v>NOI000474</v>
      </c>
      <c r="B475" s="6">
        <v>45980</v>
      </c>
      <c r="C475" s="1" t="s">
        <v>73</v>
      </c>
      <c r="D475" s="1">
        <v>47</v>
      </c>
      <c r="E475" s="8" t="s">
        <v>78</v>
      </c>
      <c r="F475" t="s">
        <v>22</v>
      </c>
      <c r="G475" s="1" t="s">
        <v>40</v>
      </c>
      <c r="H475" t="s">
        <v>62</v>
      </c>
      <c r="I475" s="1" t="s">
        <v>45</v>
      </c>
      <c r="J475" s="1" t="s">
        <v>51</v>
      </c>
      <c r="K475" s="1">
        <v>1</v>
      </c>
      <c r="L475" t="s">
        <v>54</v>
      </c>
      <c r="M475" t="s">
        <v>56</v>
      </c>
      <c r="N475" t="s">
        <v>58</v>
      </c>
      <c r="O475" s="1">
        <v>10</v>
      </c>
      <c r="P475" s="1" t="s">
        <v>60</v>
      </c>
      <c r="Q475" s="10">
        <v>0.99</v>
      </c>
    </row>
    <row r="476" spans="1:17" x14ac:dyDescent="0.35">
      <c r="A476" t="str">
        <f t="shared" si="7"/>
        <v>NOI000475</v>
      </c>
      <c r="B476" s="6">
        <v>45796</v>
      </c>
      <c r="C476" s="1" t="s">
        <v>69</v>
      </c>
      <c r="D476" s="1">
        <v>21</v>
      </c>
      <c r="E476" s="8" t="s">
        <v>76</v>
      </c>
      <c r="F476" t="s">
        <v>31</v>
      </c>
      <c r="G476" s="1" t="s">
        <v>38</v>
      </c>
      <c r="H476" t="s">
        <v>62</v>
      </c>
      <c r="I476" s="1" t="s">
        <v>48</v>
      </c>
      <c r="J476" s="1" t="s">
        <v>51</v>
      </c>
      <c r="K476" s="1">
        <v>1</v>
      </c>
      <c r="L476" t="s">
        <v>54</v>
      </c>
      <c r="M476" t="s">
        <v>56</v>
      </c>
      <c r="N476" t="s">
        <v>58</v>
      </c>
      <c r="O476" s="1">
        <v>9</v>
      </c>
      <c r="P476" s="1" t="s">
        <v>60</v>
      </c>
      <c r="Q476" s="10">
        <v>0.97</v>
      </c>
    </row>
    <row r="477" spans="1:17" x14ac:dyDescent="0.35">
      <c r="A477" t="str">
        <f t="shared" si="7"/>
        <v>NOI000476</v>
      </c>
      <c r="B477" s="6">
        <v>45702</v>
      </c>
      <c r="C477" s="1" t="s">
        <v>75</v>
      </c>
      <c r="D477" s="1">
        <v>7</v>
      </c>
      <c r="E477" s="8" t="s">
        <v>77</v>
      </c>
      <c r="F477" t="s">
        <v>18</v>
      </c>
      <c r="G477" s="1" t="s">
        <v>40</v>
      </c>
      <c r="H477" t="s">
        <v>62</v>
      </c>
      <c r="I477" s="1" t="s">
        <v>48</v>
      </c>
      <c r="J477" s="1" t="s">
        <v>51</v>
      </c>
      <c r="K477" s="1">
        <v>1</v>
      </c>
      <c r="L477" t="s">
        <v>54</v>
      </c>
      <c r="M477" t="s">
        <v>56</v>
      </c>
      <c r="N477" t="s">
        <v>58</v>
      </c>
      <c r="O477" s="1">
        <v>6</v>
      </c>
      <c r="P477" s="1" t="s">
        <v>60</v>
      </c>
      <c r="Q477" s="10">
        <v>0.97</v>
      </c>
    </row>
    <row r="478" spans="1:17" x14ac:dyDescent="0.35">
      <c r="A478" t="str">
        <f t="shared" si="7"/>
        <v>NOI000477</v>
      </c>
      <c r="B478" s="6">
        <v>45758</v>
      </c>
      <c r="C478" s="1" t="s">
        <v>68</v>
      </c>
      <c r="D478" s="1">
        <v>15</v>
      </c>
      <c r="E478" s="8" t="s">
        <v>76</v>
      </c>
      <c r="F478" t="s">
        <v>22</v>
      </c>
      <c r="G478" s="1" t="s">
        <v>38</v>
      </c>
      <c r="H478" t="s">
        <v>62</v>
      </c>
      <c r="I478" s="1" t="s">
        <v>49</v>
      </c>
      <c r="J478" s="1" t="s">
        <v>50</v>
      </c>
      <c r="K478" s="1">
        <v>1</v>
      </c>
      <c r="L478" t="s">
        <v>54</v>
      </c>
      <c r="M478" t="s">
        <v>57</v>
      </c>
      <c r="N478" t="s">
        <v>58</v>
      </c>
      <c r="O478" s="1">
        <v>9</v>
      </c>
      <c r="P478" s="1" t="s">
        <v>60</v>
      </c>
      <c r="Q478" s="10">
        <v>0.98</v>
      </c>
    </row>
    <row r="479" spans="1:17" x14ac:dyDescent="0.35">
      <c r="A479" t="str">
        <f t="shared" si="7"/>
        <v>NOI000478</v>
      </c>
      <c r="B479" s="6">
        <v>45851</v>
      </c>
      <c r="C479" s="1" t="s">
        <v>70</v>
      </c>
      <c r="D479" s="1">
        <v>29</v>
      </c>
      <c r="E479" s="8" t="s">
        <v>79</v>
      </c>
      <c r="F479" t="s">
        <v>26</v>
      </c>
      <c r="G479" s="1" t="s">
        <v>41</v>
      </c>
      <c r="H479" t="s">
        <v>62</v>
      </c>
      <c r="I479" s="1" t="s">
        <v>42</v>
      </c>
      <c r="J479" s="1" t="s">
        <v>51</v>
      </c>
      <c r="K479" s="1">
        <v>1</v>
      </c>
      <c r="L479" t="s">
        <v>53</v>
      </c>
      <c r="M479" t="s">
        <v>56</v>
      </c>
      <c r="N479" t="s">
        <v>58</v>
      </c>
      <c r="O479" s="1">
        <v>10</v>
      </c>
      <c r="P479" s="1" t="s">
        <v>60</v>
      </c>
      <c r="Q479" s="10">
        <v>0.97</v>
      </c>
    </row>
    <row r="480" spans="1:17" x14ac:dyDescent="0.35">
      <c r="A480" t="str">
        <f t="shared" si="7"/>
        <v>NOI000479</v>
      </c>
      <c r="B480" s="6">
        <v>45804</v>
      </c>
      <c r="C480" s="1" t="s">
        <v>69</v>
      </c>
      <c r="D480" s="1">
        <v>22</v>
      </c>
      <c r="E480" s="8" t="s">
        <v>76</v>
      </c>
      <c r="F480" t="s">
        <v>28</v>
      </c>
      <c r="G480" s="1" t="s">
        <v>37</v>
      </c>
      <c r="H480" t="s">
        <v>62</v>
      </c>
      <c r="I480" s="1" t="s">
        <v>45</v>
      </c>
      <c r="J480" s="1" t="s">
        <v>50</v>
      </c>
      <c r="K480" s="1">
        <v>1</v>
      </c>
      <c r="L480" t="s">
        <v>53</v>
      </c>
      <c r="M480" t="s">
        <v>56</v>
      </c>
      <c r="N480" t="s">
        <v>58</v>
      </c>
      <c r="O480" s="1">
        <v>9</v>
      </c>
      <c r="P480" s="1" t="s">
        <v>60</v>
      </c>
      <c r="Q480" s="10">
        <v>0.97</v>
      </c>
    </row>
    <row r="481" spans="1:17" x14ac:dyDescent="0.35">
      <c r="A481" t="str">
        <f t="shared" si="7"/>
        <v>NOI000480</v>
      </c>
      <c r="B481" s="6">
        <v>45774</v>
      </c>
      <c r="C481" s="1" t="s">
        <v>68</v>
      </c>
      <c r="D481" s="1">
        <v>18</v>
      </c>
      <c r="E481" s="8" t="s">
        <v>76</v>
      </c>
      <c r="F481" t="s">
        <v>22</v>
      </c>
      <c r="G481" s="1" t="s">
        <v>37</v>
      </c>
      <c r="H481" t="s">
        <v>62</v>
      </c>
      <c r="I481" s="1" t="s">
        <v>42</v>
      </c>
      <c r="J481" s="1" t="s">
        <v>50</v>
      </c>
      <c r="K481" s="1">
        <v>1</v>
      </c>
      <c r="L481" t="s">
        <v>53</v>
      </c>
      <c r="M481" t="s">
        <v>56</v>
      </c>
      <c r="N481" t="s">
        <v>58</v>
      </c>
      <c r="O481" s="1">
        <v>10</v>
      </c>
      <c r="P481" s="1" t="s">
        <v>60</v>
      </c>
      <c r="Q481" s="10">
        <v>0.99</v>
      </c>
    </row>
    <row r="482" spans="1:17" x14ac:dyDescent="0.35">
      <c r="A482" t="str">
        <f t="shared" si="7"/>
        <v>NOI000481</v>
      </c>
      <c r="B482" s="6">
        <v>45871</v>
      </c>
      <c r="C482" s="1" t="s">
        <v>74</v>
      </c>
      <c r="D482" s="1">
        <v>31</v>
      </c>
      <c r="E482" s="8" t="s">
        <v>79</v>
      </c>
      <c r="F482" t="s">
        <v>26</v>
      </c>
      <c r="G482" s="1" t="s">
        <v>38</v>
      </c>
      <c r="H482" t="s">
        <v>63</v>
      </c>
      <c r="I482" s="1" t="s">
        <v>43</v>
      </c>
      <c r="J482" s="1" t="s">
        <v>51</v>
      </c>
      <c r="K482" s="1">
        <v>1</v>
      </c>
      <c r="L482" t="s">
        <v>53</v>
      </c>
      <c r="M482" t="s">
        <v>56</v>
      </c>
      <c r="N482" t="s">
        <v>58</v>
      </c>
      <c r="O482" s="1">
        <v>10</v>
      </c>
      <c r="P482" s="1" t="s">
        <v>60</v>
      </c>
      <c r="Q482" s="10">
        <v>0.95</v>
      </c>
    </row>
    <row r="483" spans="1:17" x14ac:dyDescent="0.35">
      <c r="A483" t="str">
        <f t="shared" si="7"/>
        <v>NOI000482</v>
      </c>
      <c r="B483" s="6">
        <v>45816</v>
      </c>
      <c r="C483" s="1" t="s">
        <v>64</v>
      </c>
      <c r="D483" s="1">
        <v>24</v>
      </c>
      <c r="E483" s="8" t="s">
        <v>76</v>
      </c>
      <c r="F483" t="s">
        <v>30</v>
      </c>
      <c r="G483" s="1" t="s">
        <v>38</v>
      </c>
      <c r="H483" t="s">
        <v>63</v>
      </c>
      <c r="I483" s="1" t="s">
        <v>45</v>
      </c>
      <c r="J483" s="1" t="s">
        <v>50</v>
      </c>
      <c r="K483" s="1">
        <v>1</v>
      </c>
      <c r="L483" t="s">
        <v>53</v>
      </c>
      <c r="M483" t="s">
        <v>56</v>
      </c>
      <c r="N483" t="s">
        <v>58</v>
      </c>
      <c r="O483" s="1">
        <v>8</v>
      </c>
      <c r="P483" s="1" t="s">
        <v>60</v>
      </c>
      <c r="Q483" s="10">
        <v>0.97</v>
      </c>
    </row>
    <row r="484" spans="1:17" x14ac:dyDescent="0.35">
      <c r="A484" t="str">
        <f t="shared" si="7"/>
        <v>NOI000483</v>
      </c>
      <c r="B484" s="6">
        <v>45912</v>
      </c>
      <c r="C484" s="1" t="s">
        <v>72</v>
      </c>
      <c r="D484" s="1">
        <v>37</v>
      </c>
      <c r="E484" s="8" t="s">
        <v>79</v>
      </c>
      <c r="F484" t="s">
        <v>35</v>
      </c>
      <c r="G484" s="1" t="s">
        <v>38</v>
      </c>
      <c r="H484" t="s">
        <v>63</v>
      </c>
      <c r="I484" s="1" t="s">
        <v>43</v>
      </c>
      <c r="J484" s="1" t="s">
        <v>50</v>
      </c>
      <c r="K484" s="1">
        <v>1</v>
      </c>
      <c r="L484" t="s">
        <v>53</v>
      </c>
      <c r="M484" t="s">
        <v>56</v>
      </c>
      <c r="N484" t="s">
        <v>58</v>
      </c>
      <c r="O484" s="1">
        <v>9</v>
      </c>
      <c r="P484" s="1" t="s">
        <v>60</v>
      </c>
      <c r="Q484" s="10">
        <v>0.97</v>
      </c>
    </row>
    <row r="485" spans="1:17" x14ac:dyDescent="0.35">
      <c r="A485" t="str">
        <f t="shared" si="7"/>
        <v>NOI000484</v>
      </c>
      <c r="B485" s="6">
        <v>45974</v>
      </c>
      <c r="C485" s="1" t="s">
        <v>73</v>
      </c>
      <c r="D485" s="1">
        <v>46</v>
      </c>
      <c r="E485" s="8" t="s">
        <v>78</v>
      </c>
      <c r="F485" t="s">
        <v>33</v>
      </c>
      <c r="G485" s="1" t="s">
        <v>41</v>
      </c>
      <c r="H485" t="s">
        <v>62</v>
      </c>
      <c r="I485" s="1" t="s">
        <v>43</v>
      </c>
      <c r="J485" s="1" t="s">
        <v>50</v>
      </c>
      <c r="K485" s="1">
        <v>1</v>
      </c>
      <c r="L485" t="s">
        <v>54</v>
      </c>
      <c r="M485" t="s">
        <v>56</v>
      </c>
      <c r="N485" t="s">
        <v>58</v>
      </c>
      <c r="O485" s="1">
        <v>6</v>
      </c>
      <c r="P485" s="1" t="s">
        <v>60</v>
      </c>
      <c r="Q485" s="10">
        <v>0.98</v>
      </c>
    </row>
    <row r="486" spans="1:17" x14ac:dyDescent="0.35">
      <c r="A486" t="str">
        <f t="shared" si="7"/>
        <v>NOI000485</v>
      </c>
      <c r="B486" s="6">
        <v>45846</v>
      </c>
      <c r="C486" s="1" t="s">
        <v>70</v>
      </c>
      <c r="D486" s="1">
        <v>28</v>
      </c>
      <c r="E486" s="8" t="s">
        <v>79</v>
      </c>
      <c r="F486" t="s">
        <v>31</v>
      </c>
      <c r="G486" s="1" t="s">
        <v>41</v>
      </c>
      <c r="H486" t="s">
        <v>62</v>
      </c>
      <c r="I486" s="1" t="s">
        <v>46</v>
      </c>
      <c r="J486" s="1" t="s">
        <v>51</v>
      </c>
      <c r="K486" s="1">
        <v>1</v>
      </c>
      <c r="L486" t="s">
        <v>54</v>
      </c>
      <c r="M486" t="s">
        <v>56</v>
      </c>
      <c r="N486" t="s">
        <v>58</v>
      </c>
      <c r="O486" s="1">
        <v>8</v>
      </c>
      <c r="P486" s="1" t="s">
        <v>60</v>
      </c>
      <c r="Q486" s="10">
        <v>0.96</v>
      </c>
    </row>
    <row r="487" spans="1:17" x14ac:dyDescent="0.35">
      <c r="A487" t="str">
        <f t="shared" si="7"/>
        <v>NOI000486</v>
      </c>
      <c r="B487" s="6">
        <v>45789</v>
      </c>
      <c r="C487" s="1" t="s">
        <v>69</v>
      </c>
      <c r="D487" s="1">
        <v>20</v>
      </c>
      <c r="E487" s="8" t="s">
        <v>76</v>
      </c>
      <c r="F487" t="s">
        <v>26</v>
      </c>
      <c r="G487" s="1" t="s">
        <v>39</v>
      </c>
      <c r="H487" t="s">
        <v>62</v>
      </c>
      <c r="I487" s="1" t="s">
        <v>42</v>
      </c>
      <c r="J487" s="1" t="s">
        <v>51</v>
      </c>
      <c r="K487" s="1">
        <v>1</v>
      </c>
      <c r="L487" t="s">
        <v>53</v>
      </c>
      <c r="M487" t="s">
        <v>56</v>
      </c>
      <c r="N487" t="s">
        <v>58</v>
      </c>
      <c r="O487" s="1">
        <v>9</v>
      </c>
      <c r="P487" s="1" t="s">
        <v>60</v>
      </c>
      <c r="Q487" s="10">
        <v>0.98</v>
      </c>
    </row>
    <row r="488" spans="1:17" x14ac:dyDescent="0.35">
      <c r="A488" t="str">
        <f t="shared" si="7"/>
        <v>NOI000487</v>
      </c>
      <c r="B488" s="6">
        <v>45934</v>
      </c>
      <c r="C488" s="1" t="s">
        <v>66</v>
      </c>
      <c r="D488" s="1">
        <v>40</v>
      </c>
      <c r="E488" s="8" t="s">
        <v>78</v>
      </c>
      <c r="F488" t="s">
        <v>20</v>
      </c>
      <c r="G488" s="1" t="s">
        <v>41</v>
      </c>
      <c r="H488" t="s">
        <v>62</v>
      </c>
      <c r="I488" s="1" t="s">
        <v>43</v>
      </c>
      <c r="J488" s="1" t="s">
        <v>51</v>
      </c>
      <c r="K488" s="1">
        <v>1</v>
      </c>
      <c r="L488" t="s">
        <v>53</v>
      </c>
      <c r="M488" t="s">
        <v>56</v>
      </c>
      <c r="N488" t="s">
        <v>58</v>
      </c>
      <c r="O488" s="1">
        <v>8</v>
      </c>
      <c r="P488" s="1" t="s">
        <v>60</v>
      </c>
      <c r="Q488" s="10">
        <v>0.95</v>
      </c>
    </row>
    <row r="489" spans="1:17" x14ac:dyDescent="0.35">
      <c r="A489" t="str">
        <f t="shared" si="7"/>
        <v>NOI000488</v>
      </c>
      <c r="B489" s="6">
        <v>45678</v>
      </c>
      <c r="C489" s="1" t="s">
        <v>67</v>
      </c>
      <c r="D489" s="1">
        <v>4</v>
      </c>
      <c r="E489" s="8" t="s">
        <v>77</v>
      </c>
      <c r="F489" t="s">
        <v>19</v>
      </c>
      <c r="G489" s="1" t="s">
        <v>39</v>
      </c>
      <c r="H489" t="s">
        <v>62</v>
      </c>
      <c r="I489" s="1" t="s">
        <v>46</v>
      </c>
      <c r="J489" s="1" t="s">
        <v>51</v>
      </c>
      <c r="K489" s="1">
        <v>1</v>
      </c>
      <c r="L489" t="s">
        <v>53</v>
      </c>
      <c r="M489" t="s">
        <v>56</v>
      </c>
      <c r="N489" t="s">
        <v>58</v>
      </c>
      <c r="O489" s="1">
        <v>10</v>
      </c>
      <c r="P489" s="1" t="s">
        <v>60</v>
      </c>
      <c r="Q489" s="10">
        <v>0.99</v>
      </c>
    </row>
    <row r="490" spans="1:17" x14ac:dyDescent="0.35">
      <c r="A490" t="str">
        <f t="shared" si="7"/>
        <v>NOI000489</v>
      </c>
      <c r="B490" s="6">
        <v>45748</v>
      </c>
      <c r="C490" s="1" t="s">
        <v>68</v>
      </c>
      <c r="D490" s="1">
        <v>14</v>
      </c>
      <c r="E490" s="8" t="s">
        <v>76</v>
      </c>
      <c r="F490" t="s">
        <v>19</v>
      </c>
      <c r="G490" s="1" t="s">
        <v>37</v>
      </c>
      <c r="H490" t="s">
        <v>62</v>
      </c>
      <c r="I490" s="1" t="s">
        <v>49</v>
      </c>
      <c r="J490" s="1" t="s">
        <v>50</v>
      </c>
      <c r="K490" s="1">
        <v>1</v>
      </c>
      <c r="L490" t="s">
        <v>53</v>
      </c>
      <c r="M490" t="s">
        <v>56</v>
      </c>
      <c r="N490" t="s">
        <v>58</v>
      </c>
      <c r="O490" s="1">
        <v>10</v>
      </c>
      <c r="P490" s="1" t="s">
        <v>60</v>
      </c>
      <c r="Q490" s="10">
        <v>0.98</v>
      </c>
    </row>
    <row r="491" spans="1:17" x14ac:dyDescent="0.35">
      <c r="A491" t="str">
        <f t="shared" si="7"/>
        <v>NOI000490</v>
      </c>
      <c r="B491" s="6">
        <v>45911</v>
      </c>
      <c r="C491" s="1" t="s">
        <v>72</v>
      </c>
      <c r="D491" s="1">
        <v>37</v>
      </c>
      <c r="E491" s="8" t="s">
        <v>79</v>
      </c>
      <c r="F491" t="s">
        <v>19</v>
      </c>
      <c r="G491" s="1" t="s">
        <v>37</v>
      </c>
      <c r="H491" t="s">
        <v>62</v>
      </c>
      <c r="I491" s="1" t="s">
        <v>46</v>
      </c>
      <c r="J491" s="1" t="s">
        <v>50</v>
      </c>
      <c r="K491" s="1">
        <v>1</v>
      </c>
      <c r="L491" t="s">
        <v>54</v>
      </c>
      <c r="M491" t="s">
        <v>56</v>
      </c>
      <c r="N491" t="s">
        <v>58</v>
      </c>
      <c r="O491" s="1">
        <v>7</v>
      </c>
      <c r="P491" s="1" t="s">
        <v>60</v>
      </c>
      <c r="Q491" s="10">
        <v>0.97</v>
      </c>
    </row>
    <row r="492" spans="1:17" x14ac:dyDescent="0.35">
      <c r="A492" t="str">
        <f t="shared" si="7"/>
        <v>NOI000491</v>
      </c>
      <c r="B492" s="6">
        <v>45966</v>
      </c>
      <c r="C492" s="1" t="s">
        <v>73</v>
      </c>
      <c r="D492" s="1">
        <v>45</v>
      </c>
      <c r="E492" s="8" t="s">
        <v>78</v>
      </c>
      <c r="F492" t="s">
        <v>33</v>
      </c>
      <c r="G492" s="1" t="s">
        <v>37</v>
      </c>
      <c r="H492" t="s">
        <v>63</v>
      </c>
      <c r="I492" s="1" t="s">
        <v>43</v>
      </c>
      <c r="J492" s="1" t="s">
        <v>50</v>
      </c>
      <c r="K492" s="1">
        <v>1</v>
      </c>
      <c r="L492" t="s">
        <v>53</v>
      </c>
      <c r="M492" t="s">
        <v>56</v>
      </c>
      <c r="N492" t="s">
        <v>58</v>
      </c>
      <c r="O492" s="1">
        <v>8</v>
      </c>
      <c r="P492" s="1" t="s">
        <v>60</v>
      </c>
      <c r="Q492" s="10">
        <v>0.94</v>
      </c>
    </row>
    <row r="493" spans="1:17" x14ac:dyDescent="0.35">
      <c r="A493" t="str">
        <f t="shared" si="7"/>
        <v>NOI000492</v>
      </c>
      <c r="B493" s="6">
        <v>45947</v>
      </c>
      <c r="C493" s="1" t="s">
        <v>66</v>
      </c>
      <c r="D493" s="1">
        <v>42</v>
      </c>
      <c r="E493" s="8" t="s">
        <v>78</v>
      </c>
      <c r="F493" t="s">
        <v>34</v>
      </c>
      <c r="G493" s="1" t="s">
        <v>40</v>
      </c>
      <c r="H493" t="s">
        <v>63</v>
      </c>
      <c r="I493" s="1" t="s">
        <v>46</v>
      </c>
      <c r="J493" s="1" t="s">
        <v>50</v>
      </c>
      <c r="K493" s="1">
        <v>1</v>
      </c>
      <c r="L493" t="s">
        <v>53</v>
      </c>
      <c r="M493" t="s">
        <v>56</v>
      </c>
      <c r="N493" t="s">
        <v>58</v>
      </c>
      <c r="O493" s="1">
        <v>7</v>
      </c>
      <c r="P493" s="1" t="s">
        <v>60</v>
      </c>
      <c r="Q493" s="10">
        <v>0.97</v>
      </c>
    </row>
    <row r="494" spans="1:17" x14ac:dyDescent="0.35">
      <c r="A494" t="str">
        <f t="shared" si="7"/>
        <v>NOI000493</v>
      </c>
      <c r="B494" s="6">
        <v>45672</v>
      </c>
      <c r="C494" s="1" t="s">
        <v>67</v>
      </c>
      <c r="D494" s="1">
        <v>3</v>
      </c>
      <c r="E494" s="8" t="s">
        <v>77</v>
      </c>
      <c r="F494" t="s">
        <v>20</v>
      </c>
      <c r="G494" s="1" t="s">
        <v>40</v>
      </c>
      <c r="H494" t="s">
        <v>62</v>
      </c>
      <c r="I494" s="1" t="s">
        <v>43</v>
      </c>
      <c r="J494" s="1" t="s">
        <v>51</v>
      </c>
      <c r="K494" s="1">
        <v>1</v>
      </c>
      <c r="L494" t="s">
        <v>54</v>
      </c>
      <c r="M494" t="s">
        <v>56</v>
      </c>
      <c r="N494" t="s">
        <v>58</v>
      </c>
      <c r="O494" s="1">
        <v>8</v>
      </c>
      <c r="P494" s="1" t="s">
        <v>60</v>
      </c>
      <c r="Q494" s="10">
        <v>0.98</v>
      </c>
    </row>
    <row r="495" spans="1:17" x14ac:dyDescent="0.35">
      <c r="A495" t="str">
        <f t="shared" si="7"/>
        <v>NOI000494</v>
      </c>
      <c r="B495" s="6">
        <v>45985</v>
      </c>
      <c r="C495" s="1" t="s">
        <v>73</v>
      </c>
      <c r="D495" s="1">
        <v>48</v>
      </c>
      <c r="E495" s="8" t="s">
        <v>78</v>
      </c>
      <c r="F495" t="s">
        <v>31</v>
      </c>
      <c r="G495" s="1" t="s">
        <v>37</v>
      </c>
      <c r="H495" t="s">
        <v>63</v>
      </c>
      <c r="I495" s="1" t="s">
        <v>47</v>
      </c>
      <c r="J495" s="1" t="s">
        <v>50</v>
      </c>
      <c r="K495" s="1">
        <v>1</v>
      </c>
      <c r="L495" t="s">
        <v>54</v>
      </c>
      <c r="M495" t="s">
        <v>56</v>
      </c>
      <c r="N495" t="s">
        <v>58</v>
      </c>
      <c r="O495" s="1">
        <v>8</v>
      </c>
      <c r="P495" s="1" t="s">
        <v>61</v>
      </c>
      <c r="Q495" s="10">
        <v>0.99</v>
      </c>
    </row>
    <row r="496" spans="1:17" x14ac:dyDescent="0.35">
      <c r="A496" t="str">
        <f t="shared" si="7"/>
        <v>NOI000495</v>
      </c>
      <c r="B496" s="6">
        <v>45785</v>
      </c>
      <c r="C496" s="1" t="s">
        <v>69</v>
      </c>
      <c r="D496" s="1">
        <v>19</v>
      </c>
      <c r="E496" s="8" t="s">
        <v>76</v>
      </c>
      <c r="F496" t="s">
        <v>20</v>
      </c>
      <c r="G496" s="1" t="s">
        <v>40</v>
      </c>
      <c r="H496" t="s">
        <v>62</v>
      </c>
      <c r="I496" s="1" t="s">
        <v>48</v>
      </c>
      <c r="J496" s="1" t="s">
        <v>50</v>
      </c>
      <c r="K496" s="1">
        <v>1</v>
      </c>
      <c r="L496" t="s">
        <v>53</v>
      </c>
      <c r="M496" t="s">
        <v>56</v>
      </c>
      <c r="N496" t="s">
        <v>58</v>
      </c>
      <c r="O496" s="1">
        <v>10</v>
      </c>
      <c r="P496" s="1" t="s">
        <v>60</v>
      </c>
      <c r="Q496" s="10">
        <v>0.98</v>
      </c>
    </row>
    <row r="497" spans="1:17" x14ac:dyDescent="0.35">
      <c r="A497" t="str">
        <f t="shared" si="7"/>
        <v>NOI000496</v>
      </c>
      <c r="B497" s="6">
        <v>45962</v>
      </c>
      <c r="C497" s="1" t="s">
        <v>73</v>
      </c>
      <c r="D497" s="1">
        <v>44</v>
      </c>
      <c r="E497" s="8" t="s">
        <v>78</v>
      </c>
      <c r="F497" t="s">
        <v>23</v>
      </c>
      <c r="G497" s="1" t="s">
        <v>37</v>
      </c>
      <c r="H497" t="s">
        <v>62</v>
      </c>
      <c r="I497" s="1" t="s">
        <v>49</v>
      </c>
      <c r="J497" s="1" t="s">
        <v>51</v>
      </c>
      <c r="K497" s="1">
        <v>1</v>
      </c>
      <c r="L497" t="s">
        <v>53</v>
      </c>
      <c r="M497" t="s">
        <v>56</v>
      </c>
      <c r="N497" t="s">
        <v>58</v>
      </c>
      <c r="O497" s="1">
        <v>7</v>
      </c>
      <c r="P497" s="1" t="s">
        <v>60</v>
      </c>
      <c r="Q497" s="10">
        <v>0.97</v>
      </c>
    </row>
    <row r="498" spans="1:17" x14ac:dyDescent="0.35">
      <c r="A498" t="str">
        <f t="shared" si="7"/>
        <v>NOI000497</v>
      </c>
      <c r="B498" s="6">
        <v>45761</v>
      </c>
      <c r="C498" s="1" t="s">
        <v>68</v>
      </c>
      <c r="D498" s="1">
        <v>16</v>
      </c>
      <c r="E498" s="8" t="s">
        <v>76</v>
      </c>
      <c r="F498" t="s">
        <v>18</v>
      </c>
      <c r="G498" s="1" t="s">
        <v>40</v>
      </c>
      <c r="H498" t="s">
        <v>62</v>
      </c>
      <c r="I498" s="1" t="s">
        <v>44</v>
      </c>
      <c r="J498" s="1" t="s">
        <v>50</v>
      </c>
      <c r="K498" s="1">
        <v>1</v>
      </c>
      <c r="L498" t="s">
        <v>54</v>
      </c>
      <c r="M498" t="s">
        <v>56</v>
      </c>
      <c r="N498" t="s">
        <v>58</v>
      </c>
      <c r="O498" s="1">
        <v>9</v>
      </c>
      <c r="P498" s="1" t="s">
        <v>60</v>
      </c>
      <c r="Q498" s="10">
        <v>0.96</v>
      </c>
    </row>
    <row r="499" spans="1:17" x14ac:dyDescent="0.35">
      <c r="A499" t="str">
        <f t="shared" si="7"/>
        <v>NOI000498</v>
      </c>
      <c r="B499" s="6">
        <v>45935</v>
      </c>
      <c r="C499" s="1" t="s">
        <v>66</v>
      </c>
      <c r="D499" s="1">
        <v>41</v>
      </c>
      <c r="E499" s="8" t="s">
        <v>78</v>
      </c>
      <c r="F499" t="s">
        <v>35</v>
      </c>
      <c r="G499" s="1" t="s">
        <v>38</v>
      </c>
      <c r="H499" t="s">
        <v>62</v>
      </c>
      <c r="I499" s="1" t="s">
        <v>43</v>
      </c>
      <c r="J499" s="1" t="s">
        <v>51</v>
      </c>
      <c r="K499" s="1">
        <v>1</v>
      </c>
      <c r="L499" t="s">
        <v>54</v>
      </c>
      <c r="M499" t="s">
        <v>56</v>
      </c>
      <c r="N499" t="s">
        <v>58</v>
      </c>
      <c r="O499" s="1">
        <v>8</v>
      </c>
      <c r="P499" s="1" t="s">
        <v>60</v>
      </c>
      <c r="Q499" s="10">
        <v>0.94</v>
      </c>
    </row>
    <row r="500" spans="1:17" x14ac:dyDescent="0.35">
      <c r="A500" t="str">
        <f t="shared" si="7"/>
        <v>NOI000499</v>
      </c>
      <c r="B500" s="6">
        <v>45874</v>
      </c>
      <c r="C500" s="1" t="s">
        <v>74</v>
      </c>
      <c r="D500" s="1">
        <v>32</v>
      </c>
      <c r="E500" s="8" t="s">
        <v>79</v>
      </c>
      <c r="F500" t="s">
        <v>23</v>
      </c>
      <c r="G500" s="1" t="s">
        <v>37</v>
      </c>
      <c r="H500" t="s">
        <v>62</v>
      </c>
      <c r="I500" s="1" t="s">
        <v>48</v>
      </c>
      <c r="J500" s="1" t="s">
        <v>51</v>
      </c>
      <c r="K500" s="1">
        <v>1</v>
      </c>
      <c r="L500" t="s">
        <v>54</v>
      </c>
      <c r="M500" t="s">
        <v>56</v>
      </c>
      <c r="N500" t="s">
        <v>58</v>
      </c>
      <c r="O500" s="1">
        <v>7</v>
      </c>
      <c r="P500" s="1" t="s">
        <v>60</v>
      </c>
      <c r="Q500" s="10">
        <v>0.98</v>
      </c>
    </row>
    <row r="501" spans="1:17" x14ac:dyDescent="0.35">
      <c r="A501" t="str">
        <f t="shared" si="7"/>
        <v>NOI000500</v>
      </c>
      <c r="B501" s="6">
        <v>45700</v>
      </c>
      <c r="C501" s="1" t="s">
        <v>75</v>
      </c>
      <c r="D501" s="1">
        <v>7</v>
      </c>
      <c r="E501" s="8" t="s">
        <v>77</v>
      </c>
      <c r="F501" t="s">
        <v>31</v>
      </c>
      <c r="G501" s="1" t="s">
        <v>38</v>
      </c>
      <c r="H501" t="s">
        <v>62</v>
      </c>
      <c r="I501" s="1" t="s">
        <v>42</v>
      </c>
      <c r="J501" s="1" t="s">
        <v>50</v>
      </c>
      <c r="K501" s="1">
        <v>1</v>
      </c>
      <c r="L501" t="s">
        <v>53</v>
      </c>
      <c r="M501" t="s">
        <v>56</v>
      </c>
      <c r="N501" t="s">
        <v>58</v>
      </c>
      <c r="O501" s="1">
        <v>10</v>
      </c>
      <c r="P501" s="1" t="s">
        <v>61</v>
      </c>
      <c r="Q501" s="10">
        <v>0.96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AF688-F77E-4906-9BCF-2449C8276D5F}">
  <dimension ref="C1:X60"/>
  <sheetViews>
    <sheetView showGridLines="0" tabSelected="1" topLeftCell="A3" zoomScale="40" zoomScaleNormal="40" workbookViewId="0">
      <selection activeCell="Y19" sqref="Y19"/>
    </sheetView>
  </sheetViews>
  <sheetFormatPr defaultRowHeight="14.5" x14ac:dyDescent="0.35"/>
  <sheetData>
    <row r="1" spans="3:24" ht="14.5" customHeight="1" x14ac:dyDescent="0.35">
      <c r="C1" s="15" t="s">
        <v>90</v>
      </c>
      <c r="D1" s="16"/>
      <c r="E1" s="16"/>
      <c r="F1" s="16"/>
      <c r="G1" s="16"/>
      <c r="H1" s="16"/>
      <c r="I1" s="16"/>
      <c r="J1" s="16"/>
      <c r="K1" s="16"/>
      <c r="L1" s="16"/>
      <c r="M1" s="16"/>
      <c r="N1" s="16"/>
      <c r="O1" s="16"/>
      <c r="P1" s="16"/>
      <c r="Q1" s="16"/>
      <c r="R1" s="18"/>
    </row>
    <row r="2" spans="3:24" ht="14.5" customHeight="1" x14ac:dyDescent="0.35">
      <c r="C2" s="17"/>
      <c r="D2" s="14"/>
      <c r="E2" s="14"/>
      <c r="F2" s="14"/>
      <c r="G2" s="14"/>
      <c r="H2" s="14"/>
      <c r="I2" s="14"/>
      <c r="J2" s="14"/>
      <c r="K2" s="14"/>
      <c r="L2" s="14"/>
      <c r="M2" s="14"/>
      <c r="N2" s="14"/>
      <c r="O2" s="14"/>
      <c r="P2" s="14"/>
      <c r="Q2" s="14"/>
      <c r="R2" s="19"/>
    </row>
    <row r="3" spans="3:24" x14ac:dyDescent="0.35">
      <c r="C3" s="17"/>
      <c r="D3" s="14"/>
      <c r="E3" s="14"/>
      <c r="F3" s="14"/>
      <c r="G3" s="14"/>
      <c r="H3" s="14"/>
      <c r="I3" s="14"/>
      <c r="J3" s="14"/>
      <c r="K3" s="14"/>
      <c r="L3" s="14"/>
      <c r="M3" s="14"/>
      <c r="N3" s="14"/>
      <c r="O3" s="14"/>
      <c r="P3" s="14"/>
      <c r="Q3" s="14"/>
      <c r="R3" s="19"/>
    </row>
    <row r="4" spans="3:24" x14ac:dyDescent="0.35">
      <c r="C4" s="26"/>
      <c r="D4" s="27"/>
      <c r="E4" s="27"/>
      <c r="F4" s="27"/>
      <c r="G4" s="27"/>
      <c r="H4" s="27"/>
      <c r="I4" s="27"/>
      <c r="J4" s="27"/>
      <c r="K4" s="27"/>
      <c r="L4" s="27"/>
      <c r="M4" s="27"/>
      <c r="N4" s="27"/>
      <c r="O4" s="27"/>
      <c r="P4" s="27"/>
      <c r="Q4" s="27"/>
      <c r="R4" s="28"/>
    </row>
    <row r="5" spans="3:24" x14ac:dyDescent="0.35">
      <c r="C5" s="26"/>
      <c r="D5" s="27"/>
      <c r="E5" s="27"/>
      <c r="F5" s="27"/>
      <c r="G5" s="27"/>
      <c r="H5" s="27"/>
      <c r="I5" s="27"/>
      <c r="J5" s="27"/>
      <c r="K5" s="27"/>
      <c r="L5" s="27"/>
      <c r="M5" s="27"/>
      <c r="N5" s="27"/>
      <c r="O5" s="27"/>
      <c r="P5" s="27"/>
      <c r="Q5" s="27"/>
      <c r="R5" s="28"/>
    </row>
    <row r="6" spans="3:24" x14ac:dyDescent="0.35">
      <c r="C6" s="26"/>
      <c r="D6" s="27"/>
      <c r="E6" s="27"/>
      <c r="F6" s="27"/>
      <c r="G6" s="27"/>
      <c r="H6" s="27"/>
      <c r="I6" s="27"/>
      <c r="J6" s="27"/>
      <c r="K6" s="27"/>
      <c r="L6" s="27"/>
      <c r="M6" s="27"/>
      <c r="N6" s="27"/>
      <c r="O6" s="27"/>
      <c r="P6" s="27"/>
      <c r="Q6" s="27"/>
      <c r="R6" s="28"/>
    </row>
    <row r="7" spans="3:24" x14ac:dyDescent="0.35">
      <c r="C7" s="26"/>
      <c r="D7" s="27"/>
      <c r="E7" s="27"/>
      <c r="F7" s="27"/>
      <c r="G7" s="27"/>
      <c r="H7" s="27"/>
      <c r="I7" s="27"/>
      <c r="J7" s="27"/>
      <c r="K7" s="27"/>
      <c r="L7" s="27"/>
      <c r="M7" s="27"/>
      <c r="N7" s="27"/>
      <c r="O7" s="27"/>
      <c r="P7" s="27"/>
      <c r="Q7" s="27"/>
      <c r="R7" s="28"/>
    </row>
    <row r="8" spans="3:24" x14ac:dyDescent="0.35">
      <c r="C8" s="26"/>
      <c r="D8" s="27"/>
      <c r="E8" s="27"/>
      <c r="F8" s="27"/>
      <c r="G8" s="27"/>
      <c r="H8" s="27"/>
      <c r="I8" s="27"/>
      <c r="J8" s="27"/>
      <c r="K8" s="27"/>
      <c r="L8" s="27"/>
      <c r="M8" s="27"/>
      <c r="N8" s="27"/>
      <c r="O8" s="27"/>
      <c r="P8" s="27"/>
      <c r="Q8" s="27"/>
      <c r="R8" s="28"/>
    </row>
    <row r="9" spans="3:24" x14ac:dyDescent="0.35">
      <c r="C9" s="26"/>
      <c r="D9" s="27"/>
      <c r="E9" s="27"/>
      <c r="F9" s="27"/>
      <c r="G9" s="27"/>
      <c r="H9" s="27"/>
      <c r="I9" s="27"/>
      <c r="J9" s="27"/>
      <c r="K9" s="27"/>
      <c r="L9" s="27"/>
      <c r="M9" s="27"/>
      <c r="N9" s="27"/>
      <c r="O9" s="27"/>
      <c r="P9" s="27"/>
      <c r="Q9" s="27"/>
      <c r="R9" s="28"/>
    </row>
    <row r="10" spans="3:24" x14ac:dyDescent="0.35">
      <c r="C10" s="26"/>
      <c r="D10" s="27"/>
      <c r="E10" s="27"/>
      <c r="F10" s="27"/>
      <c r="G10" s="27"/>
      <c r="H10" s="27"/>
      <c r="I10" s="27"/>
      <c r="J10" s="27"/>
      <c r="K10" s="27"/>
      <c r="L10" s="27"/>
      <c r="M10" s="27"/>
      <c r="N10" s="27"/>
      <c r="O10" s="27"/>
      <c r="P10" s="27"/>
      <c r="Q10" s="27"/>
      <c r="R10" s="28"/>
    </row>
    <row r="11" spans="3:24" x14ac:dyDescent="0.35">
      <c r="C11" s="26"/>
      <c r="D11" s="27"/>
      <c r="E11" s="27"/>
      <c r="F11" s="27"/>
      <c r="G11" s="27"/>
      <c r="H11" s="27"/>
      <c r="I11" s="27"/>
      <c r="J11" s="27"/>
      <c r="K11" s="27"/>
      <c r="L11" s="27"/>
      <c r="M11" s="27"/>
      <c r="N11" s="27"/>
      <c r="O11" s="27"/>
      <c r="P11" s="27"/>
      <c r="Q11" s="27"/>
      <c r="R11" s="28"/>
      <c r="X11" s="3"/>
    </row>
    <row r="12" spans="3:24" x14ac:dyDescent="0.35">
      <c r="C12" s="26"/>
      <c r="D12" s="27"/>
      <c r="E12" s="27"/>
      <c r="F12" s="27"/>
      <c r="G12" s="27"/>
      <c r="H12" s="27"/>
      <c r="I12" s="27"/>
      <c r="J12" s="27"/>
      <c r="K12" s="27"/>
      <c r="L12" s="27"/>
      <c r="M12" s="27"/>
      <c r="N12" s="27"/>
      <c r="O12" s="27"/>
      <c r="P12" s="27"/>
      <c r="Q12" s="27"/>
      <c r="R12" s="28"/>
    </row>
    <row r="13" spans="3:24" x14ac:dyDescent="0.35">
      <c r="C13" s="26"/>
      <c r="D13" s="27"/>
      <c r="E13" s="27"/>
      <c r="F13" s="27"/>
      <c r="G13" s="27"/>
      <c r="H13" s="27"/>
      <c r="I13" s="27"/>
      <c r="J13" s="27"/>
      <c r="K13" s="27"/>
      <c r="L13" s="27"/>
      <c r="M13" s="27"/>
      <c r="N13" s="27"/>
      <c r="O13" s="27"/>
      <c r="P13" s="27"/>
      <c r="Q13" s="27"/>
      <c r="R13" s="28"/>
    </row>
    <row r="14" spans="3:24" ht="15" thickBot="1" x14ac:dyDescent="0.4">
      <c r="C14" s="26"/>
      <c r="D14" s="27"/>
      <c r="E14" s="27"/>
      <c r="F14" s="27"/>
      <c r="G14" s="27"/>
      <c r="H14" s="27"/>
      <c r="I14" s="27"/>
      <c r="J14" s="27"/>
      <c r="K14" s="27"/>
      <c r="L14" s="27"/>
      <c r="M14" s="27"/>
      <c r="N14" s="27"/>
      <c r="O14" s="27"/>
      <c r="P14" s="27"/>
      <c r="Q14" s="27"/>
      <c r="R14" s="28"/>
    </row>
    <row r="15" spans="3:24" ht="14.5" customHeight="1" x14ac:dyDescent="0.35">
      <c r="C15" s="20" t="s">
        <v>86</v>
      </c>
      <c r="D15" s="20"/>
      <c r="E15" s="33">
        <f>GETPIVOTDATA("CASE_HANDLED",PivotData!$E$9)</f>
        <v>500</v>
      </c>
      <c r="F15" s="20" t="s">
        <v>87</v>
      </c>
      <c r="G15" s="20"/>
      <c r="H15" s="36">
        <f>GETPIVOTDATA("QUALITY_SCORE",PivotData!$E$1)</f>
        <v>0.96558000000000099</v>
      </c>
      <c r="I15" s="23" t="s">
        <v>88</v>
      </c>
      <c r="J15" s="23"/>
      <c r="K15" s="39">
        <f>PivotData!G31</f>
        <v>0.94799999999999995</v>
      </c>
      <c r="L15" s="20" t="s">
        <v>91</v>
      </c>
      <c r="M15" s="20"/>
      <c r="N15" s="42">
        <f>GETPIVOTDATA("HANDLE_TIME",PivotData!$E$36)</f>
        <v>8.0419999999999998</v>
      </c>
      <c r="O15" s="23" t="s">
        <v>89</v>
      </c>
      <c r="P15" s="23"/>
      <c r="Q15" s="42" t="str">
        <f>PivotData!A36</f>
        <v>Simran Kaur</v>
      </c>
      <c r="R15" s="42"/>
    </row>
    <row r="16" spans="3:24" ht="14.5" customHeight="1" x14ac:dyDescent="0.35">
      <c r="C16" s="21"/>
      <c r="D16" s="21"/>
      <c r="E16" s="34"/>
      <c r="F16" s="21"/>
      <c r="G16" s="21"/>
      <c r="H16" s="37"/>
      <c r="I16" s="24"/>
      <c r="J16" s="24"/>
      <c r="K16" s="40"/>
      <c r="L16" s="21"/>
      <c r="M16" s="21"/>
      <c r="N16" s="43"/>
      <c r="O16" s="24"/>
      <c r="P16" s="24"/>
      <c r="Q16" s="43"/>
      <c r="R16" s="43"/>
    </row>
    <row r="17" spans="3:18" ht="14.5" customHeight="1" x14ac:dyDescent="0.35">
      <c r="C17" s="21"/>
      <c r="D17" s="21"/>
      <c r="E17" s="34"/>
      <c r="F17" s="21"/>
      <c r="G17" s="21"/>
      <c r="H17" s="37"/>
      <c r="I17" s="24"/>
      <c r="J17" s="24"/>
      <c r="K17" s="40"/>
      <c r="L17" s="21"/>
      <c r="M17" s="21"/>
      <c r="N17" s="43"/>
      <c r="O17" s="24"/>
      <c r="P17" s="24"/>
      <c r="Q17" s="43"/>
      <c r="R17" s="43"/>
    </row>
    <row r="18" spans="3:18" ht="15" customHeight="1" x14ac:dyDescent="0.35">
      <c r="C18" s="21"/>
      <c r="D18" s="21"/>
      <c r="E18" s="34"/>
      <c r="F18" s="21"/>
      <c r="G18" s="21"/>
      <c r="H18" s="37"/>
      <c r="I18" s="24"/>
      <c r="J18" s="24"/>
      <c r="K18" s="40"/>
      <c r="L18" s="21"/>
      <c r="M18" s="21"/>
      <c r="N18" s="43"/>
      <c r="O18" s="24"/>
      <c r="P18" s="24"/>
      <c r="Q18" s="43"/>
      <c r="R18" s="43"/>
    </row>
    <row r="19" spans="3:18" ht="14.5" customHeight="1" x14ac:dyDescent="0.35">
      <c r="C19" s="21"/>
      <c r="D19" s="21"/>
      <c r="E19" s="34"/>
      <c r="F19" s="21"/>
      <c r="G19" s="21"/>
      <c r="H19" s="37"/>
      <c r="I19" s="24"/>
      <c r="J19" s="24"/>
      <c r="K19" s="40"/>
      <c r="L19" s="21"/>
      <c r="M19" s="21"/>
      <c r="N19" s="43"/>
      <c r="O19" s="24"/>
      <c r="P19" s="24"/>
      <c r="Q19" s="43"/>
      <c r="R19" s="43"/>
    </row>
    <row r="20" spans="3:18" ht="14.5" customHeight="1" thickBot="1" x14ac:dyDescent="0.4">
      <c r="C20" s="22"/>
      <c r="D20" s="22"/>
      <c r="E20" s="35"/>
      <c r="F20" s="22"/>
      <c r="G20" s="22"/>
      <c r="H20" s="38"/>
      <c r="I20" s="25"/>
      <c r="J20" s="25"/>
      <c r="K20" s="41"/>
      <c r="L20" s="22"/>
      <c r="M20" s="22"/>
      <c r="N20" s="44"/>
      <c r="O20" s="25"/>
      <c r="P20" s="25"/>
      <c r="Q20" s="44"/>
      <c r="R20" s="44"/>
    </row>
    <row r="21" spans="3:18" x14ac:dyDescent="0.35">
      <c r="C21" s="26"/>
      <c r="D21" s="27"/>
      <c r="E21" s="27"/>
      <c r="F21" s="27"/>
      <c r="G21" s="27"/>
      <c r="H21" s="27"/>
      <c r="I21" s="27"/>
      <c r="J21" s="27"/>
      <c r="K21" s="27"/>
      <c r="L21" s="27"/>
      <c r="M21" s="27"/>
      <c r="N21" s="27"/>
      <c r="O21" s="27"/>
      <c r="P21" s="27"/>
      <c r="Q21" s="27"/>
      <c r="R21" s="29"/>
    </row>
    <row r="22" spans="3:18" x14ac:dyDescent="0.35">
      <c r="C22" s="26"/>
      <c r="D22" s="45"/>
      <c r="E22" s="45"/>
      <c r="F22" s="45"/>
      <c r="G22" s="45"/>
      <c r="H22" s="45"/>
      <c r="I22" s="45"/>
      <c r="J22" s="45"/>
      <c r="K22" s="45"/>
      <c r="L22" s="45"/>
      <c r="M22" s="45"/>
      <c r="N22" s="45"/>
      <c r="O22" s="45"/>
      <c r="P22" s="45"/>
      <c r="Q22" s="45"/>
      <c r="R22" s="29"/>
    </row>
    <row r="23" spans="3:18" x14ac:dyDescent="0.35">
      <c r="C23" s="26"/>
      <c r="D23" s="45"/>
      <c r="E23" s="45"/>
      <c r="F23" s="45"/>
      <c r="G23" s="45"/>
      <c r="H23" s="45"/>
      <c r="I23" s="45"/>
      <c r="J23" s="45"/>
      <c r="K23" s="45"/>
      <c r="L23" s="45"/>
      <c r="M23" s="45"/>
      <c r="N23" s="45"/>
      <c r="O23" s="45"/>
      <c r="P23" s="45"/>
      <c r="Q23" s="45"/>
      <c r="R23" s="29"/>
    </row>
    <row r="24" spans="3:18" x14ac:dyDescent="0.35">
      <c r="C24" s="26"/>
      <c r="D24" s="45"/>
      <c r="E24" s="45"/>
      <c r="F24" s="45"/>
      <c r="G24" s="45"/>
      <c r="H24" s="45"/>
      <c r="I24" s="45"/>
      <c r="J24" s="45"/>
      <c r="K24" s="45"/>
      <c r="L24" s="45"/>
      <c r="M24" s="45"/>
      <c r="N24" s="45"/>
      <c r="O24" s="45"/>
      <c r="P24" s="45"/>
      <c r="Q24" s="45"/>
      <c r="R24" s="29"/>
    </row>
    <row r="25" spans="3:18" x14ac:dyDescent="0.35">
      <c r="C25" s="26"/>
      <c r="D25" s="45"/>
      <c r="E25" s="45"/>
      <c r="F25" s="45"/>
      <c r="G25" s="45"/>
      <c r="H25" s="45"/>
      <c r="I25" s="45"/>
      <c r="J25" s="45"/>
      <c r="K25" s="45"/>
      <c r="L25" s="45"/>
      <c r="M25" s="45"/>
      <c r="N25" s="45"/>
      <c r="O25" s="45"/>
      <c r="P25" s="45"/>
      <c r="Q25" s="45"/>
      <c r="R25" s="29"/>
    </row>
    <row r="26" spans="3:18" x14ac:dyDescent="0.35">
      <c r="C26" s="26"/>
      <c r="D26" s="45"/>
      <c r="E26" s="45"/>
      <c r="F26" s="45"/>
      <c r="G26" s="45"/>
      <c r="H26" s="45"/>
      <c r="I26" s="45"/>
      <c r="J26" s="45"/>
      <c r="K26" s="45"/>
      <c r="L26" s="45"/>
      <c r="M26" s="45"/>
      <c r="N26" s="45"/>
      <c r="O26" s="45"/>
      <c r="P26" s="45"/>
      <c r="Q26" s="45"/>
      <c r="R26" s="29"/>
    </row>
    <row r="27" spans="3:18" x14ac:dyDescent="0.35">
      <c r="C27" s="26"/>
      <c r="D27" s="45"/>
      <c r="E27" s="45"/>
      <c r="F27" s="45"/>
      <c r="G27" s="45"/>
      <c r="H27" s="45"/>
      <c r="I27" s="45"/>
      <c r="J27" s="45"/>
      <c r="K27" s="45"/>
      <c r="L27" s="45"/>
      <c r="M27" s="45"/>
      <c r="N27" s="45"/>
      <c r="O27" s="45"/>
      <c r="P27" s="45"/>
      <c r="Q27" s="45"/>
      <c r="R27" s="29"/>
    </row>
    <row r="28" spans="3:18" x14ac:dyDescent="0.35">
      <c r="C28" s="26"/>
      <c r="D28" s="45"/>
      <c r="E28" s="45"/>
      <c r="F28" s="45"/>
      <c r="G28" s="45"/>
      <c r="H28" s="45"/>
      <c r="I28" s="45"/>
      <c r="J28" s="45"/>
      <c r="K28" s="45"/>
      <c r="L28" s="45"/>
      <c r="M28" s="45"/>
      <c r="N28" s="45"/>
      <c r="O28" s="45"/>
      <c r="P28" s="45"/>
      <c r="Q28" s="45"/>
      <c r="R28" s="29"/>
    </row>
    <row r="29" spans="3:18" x14ac:dyDescent="0.35">
      <c r="C29" s="26"/>
      <c r="D29" s="45"/>
      <c r="E29" s="45"/>
      <c r="F29" s="45"/>
      <c r="G29" s="45"/>
      <c r="H29" s="45"/>
      <c r="I29" s="45"/>
      <c r="J29" s="45"/>
      <c r="K29" s="45"/>
      <c r="L29" s="45"/>
      <c r="M29" s="45"/>
      <c r="N29" s="45"/>
      <c r="O29" s="45"/>
      <c r="P29" s="45"/>
      <c r="Q29" s="45"/>
      <c r="R29" s="29"/>
    </row>
    <row r="30" spans="3:18" x14ac:dyDescent="0.35">
      <c r="C30" s="26"/>
      <c r="D30" s="45"/>
      <c r="E30" s="45"/>
      <c r="F30" s="45"/>
      <c r="G30" s="45"/>
      <c r="H30" s="45"/>
      <c r="I30" s="45"/>
      <c r="J30" s="45"/>
      <c r="K30" s="45"/>
      <c r="L30" s="45"/>
      <c r="M30" s="45"/>
      <c r="N30" s="45"/>
      <c r="O30" s="45"/>
      <c r="P30" s="45"/>
      <c r="Q30" s="45"/>
      <c r="R30" s="29"/>
    </row>
    <row r="31" spans="3:18" x14ac:dyDescent="0.35">
      <c r="C31" s="26"/>
      <c r="D31" s="45"/>
      <c r="E31" s="45"/>
      <c r="F31" s="45"/>
      <c r="G31" s="45"/>
      <c r="H31" s="45"/>
      <c r="I31" s="45"/>
      <c r="J31" s="45"/>
      <c r="K31" s="45"/>
      <c r="L31" s="45"/>
      <c r="M31" s="45"/>
      <c r="N31" s="45"/>
      <c r="O31" s="45"/>
      <c r="P31" s="45"/>
      <c r="Q31" s="45"/>
      <c r="R31" s="29"/>
    </row>
    <row r="32" spans="3:18" x14ac:dyDescent="0.35">
      <c r="C32" s="26"/>
      <c r="D32" s="45"/>
      <c r="E32" s="45"/>
      <c r="F32" s="45"/>
      <c r="G32" s="45"/>
      <c r="H32" s="45"/>
      <c r="I32" s="45"/>
      <c r="J32" s="45"/>
      <c r="K32" s="45"/>
      <c r="L32" s="45"/>
      <c r="M32" s="45"/>
      <c r="N32" s="45"/>
      <c r="O32" s="45"/>
      <c r="P32" s="45"/>
      <c r="Q32" s="45"/>
      <c r="R32" s="29"/>
    </row>
    <row r="33" spans="3:18" x14ac:dyDescent="0.35">
      <c r="C33" s="26"/>
      <c r="D33" s="45"/>
      <c r="E33" s="45"/>
      <c r="F33" s="45"/>
      <c r="G33" s="45"/>
      <c r="H33" s="45"/>
      <c r="I33" s="45"/>
      <c r="J33" s="45"/>
      <c r="K33" s="45"/>
      <c r="L33" s="45"/>
      <c r="M33" s="45"/>
      <c r="N33" s="45"/>
      <c r="O33" s="45"/>
      <c r="P33" s="45"/>
      <c r="Q33" s="45"/>
      <c r="R33" s="29"/>
    </row>
    <row r="34" spans="3:18" x14ac:dyDescent="0.35">
      <c r="C34" s="26"/>
      <c r="D34" s="45"/>
      <c r="E34" s="45"/>
      <c r="F34" s="45"/>
      <c r="G34" s="45"/>
      <c r="H34" s="45"/>
      <c r="I34" s="45"/>
      <c r="J34" s="45"/>
      <c r="K34" s="45"/>
      <c r="L34" s="45"/>
      <c r="M34" s="45"/>
      <c r="N34" s="45"/>
      <c r="O34" s="45"/>
      <c r="P34" s="45"/>
      <c r="Q34" s="45"/>
      <c r="R34" s="29"/>
    </row>
    <row r="35" spans="3:18" x14ac:dyDescent="0.35">
      <c r="C35" s="26"/>
      <c r="D35" s="45"/>
      <c r="E35" s="45"/>
      <c r="F35" s="45"/>
      <c r="G35" s="45"/>
      <c r="H35" s="45"/>
      <c r="I35" s="45"/>
      <c r="J35" s="45"/>
      <c r="K35" s="45"/>
      <c r="L35" s="45"/>
      <c r="M35" s="45"/>
      <c r="N35" s="45"/>
      <c r="O35" s="45"/>
      <c r="P35" s="45"/>
      <c r="Q35" s="45"/>
      <c r="R35" s="29"/>
    </row>
    <row r="36" spans="3:18" x14ac:dyDescent="0.35">
      <c r="C36" s="26"/>
      <c r="D36" s="45"/>
      <c r="E36" s="45"/>
      <c r="F36" s="45"/>
      <c r="G36" s="45"/>
      <c r="H36" s="45"/>
      <c r="I36" s="45"/>
      <c r="J36" s="45"/>
      <c r="K36" s="45"/>
      <c r="L36" s="45"/>
      <c r="M36" s="45"/>
      <c r="N36" s="45"/>
      <c r="O36" s="45"/>
      <c r="P36" s="45"/>
      <c r="Q36" s="45"/>
      <c r="R36" s="29"/>
    </row>
    <row r="37" spans="3:18" x14ac:dyDescent="0.35">
      <c r="C37" s="26"/>
      <c r="D37" s="45"/>
      <c r="E37" s="45"/>
      <c r="F37" s="45"/>
      <c r="G37" s="45"/>
      <c r="H37" s="45"/>
      <c r="I37" s="45"/>
      <c r="J37" s="45"/>
      <c r="K37" s="45"/>
      <c r="L37" s="45"/>
      <c r="M37" s="45"/>
      <c r="N37" s="45"/>
      <c r="O37" s="45"/>
      <c r="P37" s="45"/>
      <c r="Q37" s="45"/>
      <c r="R37" s="29"/>
    </row>
    <row r="38" spans="3:18" x14ac:dyDescent="0.35">
      <c r="C38" s="26"/>
      <c r="D38" s="45"/>
      <c r="E38" s="45"/>
      <c r="F38" s="45"/>
      <c r="G38" s="45"/>
      <c r="H38" s="45"/>
      <c r="I38" s="45"/>
      <c r="J38" s="45"/>
      <c r="K38" s="45"/>
      <c r="L38" s="45"/>
      <c r="M38" s="45"/>
      <c r="N38" s="45"/>
      <c r="O38" s="45"/>
      <c r="P38" s="45"/>
      <c r="Q38" s="45"/>
      <c r="R38" s="29"/>
    </row>
    <row r="39" spans="3:18" x14ac:dyDescent="0.35">
      <c r="C39" s="26"/>
      <c r="D39" s="27"/>
      <c r="E39" s="27"/>
      <c r="F39" s="27"/>
      <c r="G39" s="27"/>
      <c r="H39" s="27"/>
      <c r="I39" s="27"/>
      <c r="J39" s="27"/>
      <c r="K39" s="27"/>
      <c r="L39" s="27"/>
      <c r="M39" s="27"/>
      <c r="N39" s="27"/>
      <c r="O39" s="27"/>
      <c r="P39" s="27"/>
      <c r="Q39" s="27"/>
      <c r="R39" s="29"/>
    </row>
    <row r="40" spans="3:18" x14ac:dyDescent="0.35">
      <c r="C40" s="26"/>
      <c r="D40" s="45"/>
      <c r="E40" s="45"/>
      <c r="F40" s="45"/>
      <c r="G40" s="45"/>
      <c r="H40" s="45"/>
      <c r="I40" s="45"/>
      <c r="J40" s="45"/>
      <c r="K40" s="45"/>
      <c r="L40" s="45"/>
      <c r="M40" s="45"/>
      <c r="N40" s="45"/>
      <c r="O40" s="45"/>
      <c r="P40" s="45"/>
      <c r="Q40" s="45"/>
      <c r="R40" s="29"/>
    </row>
    <row r="41" spans="3:18" x14ac:dyDescent="0.35">
      <c r="C41" s="26"/>
      <c r="D41" s="45"/>
      <c r="E41" s="45"/>
      <c r="F41" s="45"/>
      <c r="G41" s="45"/>
      <c r="H41" s="45"/>
      <c r="I41" s="45"/>
      <c r="J41" s="45"/>
      <c r="K41" s="45"/>
      <c r="L41" s="45"/>
      <c r="M41" s="45"/>
      <c r="N41" s="45"/>
      <c r="O41" s="45"/>
      <c r="P41" s="45"/>
      <c r="Q41" s="45"/>
      <c r="R41" s="29"/>
    </row>
    <row r="42" spans="3:18" x14ac:dyDescent="0.35">
      <c r="C42" s="26"/>
      <c r="D42" s="45"/>
      <c r="E42" s="45"/>
      <c r="F42" s="45"/>
      <c r="G42" s="45"/>
      <c r="H42" s="45"/>
      <c r="I42" s="45"/>
      <c r="J42" s="45"/>
      <c r="K42" s="45"/>
      <c r="L42" s="45"/>
      <c r="M42" s="45"/>
      <c r="N42" s="45"/>
      <c r="O42" s="45"/>
      <c r="P42" s="45"/>
      <c r="Q42" s="45"/>
      <c r="R42" s="29"/>
    </row>
    <row r="43" spans="3:18" x14ac:dyDescent="0.35">
      <c r="C43" s="26"/>
      <c r="D43" s="45"/>
      <c r="E43" s="45"/>
      <c r="F43" s="45"/>
      <c r="G43" s="45"/>
      <c r="H43" s="45"/>
      <c r="I43" s="45"/>
      <c r="J43" s="45"/>
      <c r="K43" s="45"/>
      <c r="L43" s="45"/>
      <c r="M43" s="45"/>
      <c r="N43" s="45"/>
      <c r="O43" s="45"/>
      <c r="P43" s="45"/>
      <c r="Q43" s="45"/>
      <c r="R43" s="29"/>
    </row>
    <row r="44" spans="3:18" x14ac:dyDescent="0.35">
      <c r="C44" s="26"/>
      <c r="D44" s="45"/>
      <c r="E44" s="45"/>
      <c r="F44" s="45"/>
      <c r="G44" s="45"/>
      <c r="H44" s="45"/>
      <c r="I44" s="45"/>
      <c r="J44" s="45"/>
      <c r="K44" s="45"/>
      <c r="L44" s="45"/>
      <c r="M44" s="45"/>
      <c r="N44" s="45"/>
      <c r="O44" s="45"/>
      <c r="P44" s="45"/>
      <c r="Q44" s="45"/>
      <c r="R44" s="29"/>
    </row>
    <row r="45" spans="3:18" x14ac:dyDescent="0.35">
      <c r="C45" s="26"/>
      <c r="D45" s="45"/>
      <c r="E45" s="45"/>
      <c r="F45" s="45"/>
      <c r="G45" s="45"/>
      <c r="H45" s="45"/>
      <c r="I45" s="45"/>
      <c r="J45" s="45"/>
      <c r="K45" s="45"/>
      <c r="L45" s="45"/>
      <c r="M45" s="45"/>
      <c r="N45" s="45"/>
      <c r="O45" s="45"/>
      <c r="P45" s="45"/>
      <c r="Q45" s="45"/>
      <c r="R45" s="29"/>
    </row>
    <row r="46" spans="3:18" x14ac:dyDescent="0.35">
      <c r="C46" s="26"/>
      <c r="D46" s="45"/>
      <c r="E46" s="45"/>
      <c r="F46" s="45"/>
      <c r="G46" s="45"/>
      <c r="H46" s="45"/>
      <c r="I46" s="45"/>
      <c r="J46" s="45"/>
      <c r="K46" s="45"/>
      <c r="L46" s="45"/>
      <c r="M46" s="45"/>
      <c r="N46" s="45"/>
      <c r="O46" s="45"/>
      <c r="P46" s="45"/>
      <c r="Q46" s="45"/>
      <c r="R46" s="29"/>
    </row>
    <row r="47" spans="3:18" x14ac:dyDescent="0.35">
      <c r="C47" s="26"/>
      <c r="D47" s="45"/>
      <c r="E47" s="45"/>
      <c r="F47" s="45"/>
      <c r="G47" s="45"/>
      <c r="H47" s="45"/>
      <c r="I47" s="45"/>
      <c r="J47" s="45"/>
      <c r="K47" s="45"/>
      <c r="L47" s="45"/>
      <c r="M47" s="45"/>
      <c r="N47" s="45"/>
      <c r="O47" s="45"/>
      <c r="P47" s="45"/>
      <c r="Q47" s="45"/>
      <c r="R47" s="29"/>
    </row>
    <row r="48" spans="3:18" x14ac:dyDescent="0.35">
      <c r="C48" s="26"/>
      <c r="D48" s="45"/>
      <c r="E48" s="45"/>
      <c r="F48" s="45"/>
      <c r="G48" s="45"/>
      <c r="H48" s="45"/>
      <c r="I48" s="45"/>
      <c r="J48" s="45"/>
      <c r="K48" s="45"/>
      <c r="L48" s="45"/>
      <c r="M48" s="45"/>
      <c r="N48" s="45"/>
      <c r="O48" s="45"/>
      <c r="P48" s="45"/>
      <c r="Q48" s="45"/>
      <c r="R48" s="29"/>
    </row>
    <row r="49" spans="3:18" x14ac:dyDescent="0.35">
      <c r="C49" s="26"/>
      <c r="D49" s="45"/>
      <c r="E49" s="45"/>
      <c r="F49" s="45"/>
      <c r="G49" s="45"/>
      <c r="H49" s="45"/>
      <c r="I49" s="45"/>
      <c r="J49" s="45"/>
      <c r="K49" s="45"/>
      <c r="L49" s="45"/>
      <c r="M49" s="45"/>
      <c r="N49" s="45"/>
      <c r="O49" s="45"/>
      <c r="P49" s="45"/>
      <c r="Q49" s="45"/>
      <c r="R49" s="29"/>
    </row>
    <row r="50" spans="3:18" x14ac:dyDescent="0.35">
      <c r="C50" s="26"/>
      <c r="D50" s="45"/>
      <c r="E50" s="45"/>
      <c r="F50" s="45"/>
      <c r="G50" s="45"/>
      <c r="H50" s="45"/>
      <c r="I50" s="45"/>
      <c r="J50" s="45"/>
      <c r="K50" s="45"/>
      <c r="L50" s="45"/>
      <c r="M50" s="45"/>
      <c r="N50" s="45"/>
      <c r="O50" s="45"/>
      <c r="P50" s="45"/>
      <c r="Q50" s="45"/>
      <c r="R50" s="29"/>
    </row>
    <row r="51" spans="3:18" x14ac:dyDescent="0.35">
      <c r="C51" s="26"/>
      <c r="D51" s="45"/>
      <c r="E51" s="45"/>
      <c r="F51" s="45"/>
      <c r="G51" s="45"/>
      <c r="H51" s="45"/>
      <c r="I51" s="45"/>
      <c r="J51" s="45"/>
      <c r="K51" s="45"/>
      <c r="L51" s="45"/>
      <c r="M51" s="45"/>
      <c r="N51" s="45"/>
      <c r="O51" s="45"/>
      <c r="P51" s="45"/>
      <c r="Q51" s="45"/>
      <c r="R51" s="29"/>
    </row>
    <row r="52" spans="3:18" x14ac:dyDescent="0.35">
      <c r="C52" s="26"/>
      <c r="D52" s="45"/>
      <c r="E52" s="45"/>
      <c r="F52" s="45"/>
      <c r="G52" s="45"/>
      <c r="H52" s="45"/>
      <c r="I52" s="45"/>
      <c r="J52" s="45"/>
      <c r="K52" s="45"/>
      <c r="L52" s="45"/>
      <c r="M52" s="45"/>
      <c r="N52" s="45"/>
      <c r="O52" s="45"/>
      <c r="P52" s="45"/>
      <c r="Q52" s="45"/>
      <c r="R52" s="29"/>
    </row>
    <row r="53" spans="3:18" x14ac:dyDescent="0.35">
      <c r="C53" s="26"/>
      <c r="D53" s="45"/>
      <c r="E53" s="45"/>
      <c r="F53" s="45"/>
      <c r="G53" s="45"/>
      <c r="H53" s="45"/>
      <c r="I53" s="45"/>
      <c r="J53" s="45"/>
      <c r="K53" s="45"/>
      <c r="L53" s="45"/>
      <c r="M53" s="45"/>
      <c r="N53" s="45"/>
      <c r="O53" s="45"/>
      <c r="P53" s="45"/>
      <c r="Q53" s="45"/>
      <c r="R53" s="29"/>
    </row>
    <row r="54" spans="3:18" x14ac:dyDescent="0.35">
      <c r="C54" s="26"/>
      <c r="D54" s="45"/>
      <c r="E54" s="45"/>
      <c r="F54" s="45"/>
      <c r="G54" s="45"/>
      <c r="H54" s="45"/>
      <c r="I54" s="45"/>
      <c r="J54" s="45"/>
      <c r="K54" s="45"/>
      <c r="L54" s="45"/>
      <c r="M54" s="45"/>
      <c r="N54" s="45"/>
      <c r="O54" s="45"/>
      <c r="P54" s="45"/>
      <c r="Q54" s="45"/>
      <c r="R54" s="29"/>
    </row>
    <row r="55" spans="3:18" x14ac:dyDescent="0.35">
      <c r="C55" s="26"/>
      <c r="D55" s="45"/>
      <c r="E55" s="45"/>
      <c r="F55" s="45"/>
      <c r="G55" s="45"/>
      <c r="H55" s="45"/>
      <c r="I55" s="45"/>
      <c r="J55" s="45"/>
      <c r="K55" s="45"/>
      <c r="L55" s="45"/>
      <c r="M55" s="45"/>
      <c r="N55" s="45"/>
      <c r="O55" s="45"/>
      <c r="P55" s="45"/>
      <c r="Q55" s="45"/>
      <c r="R55" s="29"/>
    </row>
    <row r="56" spans="3:18" x14ac:dyDescent="0.35">
      <c r="C56" s="26"/>
      <c r="D56" s="45"/>
      <c r="E56" s="45"/>
      <c r="F56" s="45"/>
      <c r="G56" s="45"/>
      <c r="H56" s="45"/>
      <c r="I56" s="45"/>
      <c r="J56" s="45"/>
      <c r="K56" s="45"/>
      <c r="L56" s="45"/>
      <c r="M56" s="45"/>
      <c r="N56" s="45"/>
      <c r="O56" s="45"/>
      <c r="P56" s="45"/>
      <c r="Q56" s="45"/>
      <c r="R56" s="29"/>
    </row>
    <row r="57" spans="3:18" x14ac:dyDescent="0.35">
      <c r="C57" s="26"/>
      <c r="D57" s="27"/>
      <c r="E57" s="27"/>
      <c r="F57" s="27"/>
      <c r="G57" s="27"/>
      <c r="H57" s="27"/>
      <c r="I57" s="27"/>
      <c r="J57" s="27"/>
      <c r="K57" s="27"/>
      <c r="L57" s="27"/>
      <c r="M57" s="27"/>
      <c r="N57" s="27"/>
      <c r="O57" s="27"/>
      <c r="P57" s="27"/>
      <c r="Q57" s="27"/>
      <c r="R57" s="29"/>
    </row>
    <row r="58" spans="3:18" x14ac:dyDescent="0.35">
      <c r="C58" s="26"/>
      <c r="D58" s="27"/>
      <c r="E58" s="27"/>
      <c r="F58" s="27"/>
      <c r="G58" s="27"/>
      <c r="H58" s="27"/>
      <c r="I58" s="27"/>
      <c r="J58" s="27"/>
      <c r="K58" s="27"/>
      <c r="L58" s="27"/>
      <c r="M58" s="27"/>
      <c r="N58" s="27"/>
      <c r="O58" s="27"/>
      <c r="P58" s="27"/>
      <c r="Q58" s="27"/>
      <c r="R58" s="29"/>
    </row>
    <row r="59" spans="3:18" x14ac:dyDescent="0.35">
      <c r="C59" s="26"/>
      <c r="D59" s="46" t="s">
        <v>93</v>
      </c>
      <c r="E59" s="46"/>
      <c r="F59" s="46"/>
      <c r="G59" s="46"/>
      <c r="H59" s="46"/>
      <c r="I59" s="46"/>
      <c r="J59" s="46"/>
      <c r="K59" s="46"/>
      <c r="L59" s="46"/>
      <c r="M59" s="46"/>
      <c r="N59" s="46"/>
      <c r="O59" s="46"/>
      <c r="P59" s="46"/>
      <c r="Q59" s="46"/>
      <c r="R59" s="29"/>
    </row>
    <row r="60" spans="3:18" ht="15" thickBot="1" x14ac:dyDescent="0.4">
      <c r="C60" s="30"/>
      <c r="D60" s="31"/>
      <c r="E60" s="31"/>
      <c r="F60" s="31"/>
      <c r="G60" s="31"/>
      <c r="H60" s="31"/>
      <c r="I60" s="31"/>
      <c r="J60" s="31"/>
      <c r="K60" s="31"/>
      <c r="L60" s="31"/>
      <c r="M60" s="31"/>
      <c r="N60" s="31"/>
      <c r="O60" s="31"/>
      <c r="P60" s="31"/>
      <c r="Q60" s="31"/>
      <c r="R60" s="32"/>
    </row>
  </sheetData>
  <mergeCells count="16">
    <mergeCell ref="D22:J38"/>
    <mergeCell ref="K22:Q38"/>
    <mergeCell ref="D40:J56"/>
    <mergeCell ref="K40:Q56"/>
    <mergeCell ref="D59:Q59"/>
    <mergeCell ref="C1:R3"/>
    <mergeCell ref="C15:D20"/>
    <mergeCell ref="E15:E20"/>
    <mergeCell ref="F15:G20"/>
    <mergeCell ref="H15:H20"/>
    <mergeCell ref="I15:J20"/>
    <mergeCell ref="K15:K20"/>
    <mergeCell ref="L15:M20"/>
    <mergeCell ref="N15:N20"/>
    <mergeCell ref="O15:P20"/>
    <mergeCell ref="Q15:R20"/>
  </mergeCells>
  <conditionalFormatting sqref="H15:H20">
    <cfRule type="cellIs" dxfId="7" priority="13" stopIfTrue="1" operator="between">
      <formula>0.9</formula>
      <formula>0.9499</formula>
    </cfRule>
    <cfRule type="cellIs" dxfId="8" priority="9" operator="greaterThanOrEqual">
      <formula>0.95</formula>
    </cfRule>
    <cfRule type="cellIs" dxfId="6" priority="8" operator="lessThan">
      <formula>0.95</formula>
    </cfRule>
  </conditionalFormatting>
  <conditionalFormatting sqref="E15:E20">
    <cfRule type="cellIs" dxfId="10" priority="11" operator="lessThan">
      <formula>20</formula>
    </cfRule>
    <cfRule type="cellIs" dxfId="9" priority="10" operator="greaterThanOrEqual">
      <formula>20</formula>
    </cfRule>
  </conditionalFormatting>
  <conditionalFormatting sqref="K15:K20">
    <cfRule type="cellIs" dxfId="3" priority="7" operator="greaterThanOrEqual">
      <formula>0.95</formula>
    </cfRule>
    <cfRule type="cellIs" dxfId="4" priority="6" operator="between">
      <formula>0.9</formula>
      <formula>0.95</formula>
    </cfRule>
    <cfRule type="cellIs" priority="5" operator="greaterThan">
      <formula>0.95</formula>
    </cfRule>
    <cfRule type="cellIs" dxfId="5" priority="4" operator="greaterThan">
      <formula>0.95</formula>
    </cfRule>
    <cfRule type="cellIs" dxfId="2" priority="3" operator="lessThan">
      <formula>0.9</formula>
    </cfRule>
  </conditionalFormatting>
  <conditionalFormatting sqref="N15:N20">
    <cfRule type="cellIs" dxfId="1" priority="2" operator="between">
      <formula>8</formula>
      <formula>12</formula>
    </cfRule>
    <cfRule type="cellIs" dxfId="0" priority="1" operator="lessThan">
      <formula>8</formula>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8634E-B391-4F37-871B-34B54749FCE1}">
  <dimension ref="A1:G67"/>
  <sheetViews>
    <sheetView topLeftCell="A22" workbookViewId="0">
      <selection activeCell="K15" sqref="K15:K20"/>
    </sheetView>
  </sheetViews>
  <sheetFormatPr defaultRowHeight="14.5" x14ac:dyDescent="0.35"/>
  <cols>
    <col min="1" max="1" width="12.36328125" bestFit="1" customWidth="1"/>
    <col min="2" max="2" width="20.54296875" bestFit="1" customWidth="1"/>
    <col min="5" max="5" width="22.54296875" bestFit="1" customWidth="1"/>
    <col min="6" max="6" width="20.54296875" bestFit="1" customWidth="1"/>
  </cols>
  <sheetData>
    <row r="1" spans="1:5" x14ac:dyDescent="0.35">
      <c r="A1" s="11" t="s">
        <v>80</v>
      </c>
      <c r="B1" t="s">
        <v>82</v>
      </c>
      <c r="E1" t="s">
        <v>83</v>
      </c>
    </row>
    <row r="2" spans="1:5" x14ac:dyDescent="0.35">
      <c r="A2" s="12" t="s">
        <v>39</v>
      </c>
      <c r="B2" s="7">
        <v>96</v>
      </c>
      <c r="E2" s="13">
        <v>0.96558000000000099</v>
      </c>
    </row>
    <row r="3" spans="1:5" x14ac:dyDescent="0.35">
      <c r="A3" s="12" t="s">
        <v>38</v>
      </c>
      <c r="B3" s="7">
        <v>112</v>
      </c>
    </row>
    <row r="4" spans="1:5" x14ac:dyDescent="0.35">
      <c r="A4" s="12" t="s">
        <v>40</v>
      </c>
      <c r="B4" s="7">
        <v>102</v>
      </c>
    </row>
    <row r="5" spans="1:5" x14ac:dyDescent="0.35">
      <c r="A5" s="12" t="s">
        <v>41</v>
      </c>
      <c r="B5" s="7">
        <v>89</v>
      </c>
    </row>
    <row r="6" spans="1:5" x14ac:dyDescent="0.35">
      <c r="A6" s="12" t="s">
        <v>37</v>
      </c>
      <c r="B6" s="7">
        <v>101</v>
      </c>
    </row>
    <row r="7" spans="1:5" x14ac:dyDescent="0.35">
      <c r="A7" s="12" t="s">
        <v>81</v>
      </c>
      <c r="B7" s="7">
        <v>500</v>
      </c>
    </row>
    <row r="9" spans="1:5" x14ac:dyDescent="0.35">
      <c r="E9" t="s">
        <v>82</v>
      </c>
    </row>
    <row r="10" spans="1:5" x14ac:dyDescent="0.35">
      <c r="E10" s="7">
        <v>500</v>
      </c>
    </row>
    <row r="15" spans="1:5" x14ac:dyDescent="0.35">
      <c r="A15" s="11" t="s">
        <v>80</v>
      </c>
      <c r="B15" t="s">
        <v>82</v>
      </c>
      <c r="E15" t="s">
        <v>84</v>
      </c>
    </row>
    <row r="16" spans="1:5" x14ac:dyDescent="0.35">
      <c r="A16" s="12" t="s">
        <v>67</v>
      </c>
      <c r="B16" s="7">
        <v>40</v>
      </c>
      <c r="E16" s="7">
        <v>500</v>
      </c>
    </row>
    <row r="17" spans="1:7" x14ac:dyDescent="0.35">
      <c r="A17" s="12" t="s">
        <v>75</v>
      </c>
      <c r="B17" s="7">
        <v>42</v>
      </c>
    </row>
    <row r="18" spans="1:7" x14ac:dyDescent="0.35">
      <c r="A18" s="12" t="s">
        <v>65</v>
      </c>
      <c r="B18" s="7">
        <v>29</v>
      </c>
    </row>
    <row r="19" spans="1:7" x14ac:dyDescent="0.35">
      <c r="A19" s="12" t="s">
        <v>68</v>
      </c>
      <c r="B19" s="7">
        <v>59</v>
      </c>
    </row>
    <row r="20" spans="1:7" x14ac:dyDescent="0.35">
      <c r="A20" s="12" t="s">
        <v>69</v>
      </c>
      <c r="B20" s="7">
        <v>45</v>
      </c>
    </row>
    <row r="21" spans="1:7" x14ac:dyDescent="0.35">
      <c r="A21" s="12" t="s">
        <v>64</v>
      </c>
      <c r="B21" s="7">
        <v>37</v>
      </c>
    </row>
    <row r="22" spans="1:7" x14ac:dyDescent="0.35">
      <c r="A22" s="12" t="s">
        <v>70</v>
      </c>
      <c r="B22" s="7">
        <v>42</v>
      </c>
    </row>
    <row r="23" spans="1:7" x14ac:dyDescent="0.35">
      <c r="A23" s="12" t="s">
        <v>74</v>
      </c>
      <c r="B23" s="7">
        <v>41</v>
      </c>
      <c r="E23" t="s">
        <v>85</v>
      </c>
    </row>
    <row r="24" spans="1:7" x14ac:dyDescent="0.35">
      <c r="A24" s="12" t="s">
        <v>72</v>
      </c>
      <c r="B24" s="7">
        <v>51</v>
      </c>
      <c r="E24" s="7">
        <v>1</v>
      </c>
    </row>
    <row r="25" spans="1:7" x14ac:dyDescent="0.35">
      <c r="A25" s="12" t="s">
        <v>66</v>
      </c>
      <c r="B25" s="7">
        <v>43</v>
      </c>
    </row>
    <row r="26" spans="1:7" x14ac:dyDescent="0.35">
      <c r="A26" s="12" t="s">
        <v>73</v>
      </c>
      <c r="B26" s="7">
        <v>37</v>
      </c>
    </row>
    <row r="27" spans="1:7" x14ac:dyDescent="0.35">
      <c r="A27" s="12" t="s">
        <v>71</v>
      </c>
      <c r="B27" s="7">
        <v>34</v>
      </c>
    </row>
    <row r="28" spans="1:7" x14ac:dyDescent="0.35">
      <c r="A28" s="12" t="s">
        <v>81</v>
      </c>
      <c r="B28" s="7">
        <v>500</v>
      </c>
      <c r="C28">
        <f>GETPIVOTDATA("CASE_HANDLED",$A$15)/(31*10)</f>
        <v>1.6129032258064515</v>
      </c>
    </row>
    <row r="29" spans="1:7" x14ac:dyDescent="0.35">
      <c r="E29" s="11" t="s">
        <v>80</v>
      </c>
      <c r="F29" t="s">
        <v>82</v>
      </c>
    </row>
    <row r="30" spans="1:7" x14ac:dyDescent="0.35">
      <c r="E30" s="12" t="s">
        <v>57</v>
      </c>
      <c r="F30" s="7">
        <v>26</v>
      </c>
    </row>
    <row r="31" spans="1:7" x14ac:dyDescent="0.35">
      <c r="E31" s="12" t="s">
        <v>56</v>
      </c>
      <c r="F31" s="7">
        <v>474</v>
      </c>
      <c r="G31" s="9">
        <f>GETPIVOTDATA("CASE_HANDLED",$E$29,"SLA","Met")/GETPIVOTDATA("CASE_HANDLED",$E$29)</f>
        <v>0.94799999999999995</v>
      </c>
    </row>
    <row r="32" spans="1:7" x14ac:dyDescent="0.35">
      <c r="E32" s="12" t="s">
        <v>81</v>
      </c>
      <c r="F32" s="7">
        <v>500</v>
      </c>
    </row>
    <row r="35" spans="1:5" x14ac:dyDescent="0.35">
      <c r="A35" s="11" t="s">
        <v>80</v>
      </c>
      <c r="B35" t="s">
        <v>82</v>
      </c>
    </row>
    <row r="36" spans="1:5" x14ac:dyDescent="0.35">
      <c r="A36" s="12" t="s">
        <v>35</v>
      </c>
      <c r="B36" s="7">
        <v>37</v>
      </c>
      <c r="E36" t="s">
        <v>92</v>
      </c>
    </row>
    <row r="37" spans="1:5" x14ac:dyDescent="0.35">
      <c r="A37" s="12" t="s">
        <v>24</v>
      </c>
      <c r="B37" s="7">
        <v>34</v>
      </c>
      <c r="E37" s="7">
        <v>8.0419999999999998</v>
      </c>
    </row>
    <row r="38" spans="1:5" x14ac:dyDescent="0.35">
      <c r="A38" s="12" t="s">
        <v>19</v>
      </c>
      <c r="B38" s="7">
        <v>30</v>
      </c>
    </row>
    <row r="39" spans="1:5" x14ac:dyDescent="0.35">
      <c r="A39" s="12" t="s">
        <v>31</v>
      </c>
      <c r="B39" s="7">
        <v>29</v>
      </c>
    </row>
    <row r="40" spans="1:5" x14ac:dyDescent="0.35">
      <c r="A40" s="12" t="s">
        <v>28</v>
      </c>
      <c r="B40" s="7">
        <v>29</v>
      </c>
    </row>
    <row r="41" spans="1:5" x14ac:dyDescent="0.35">
      <c r="A41" s="12" t="s">
        <v>18</v>
      </c>
      <c r="B41" s="7">
        <v>28</v>
      </c>
    </row>
    <row r="42" spans="1:5" x14ac:dyDescent="0.35">
      <c r="A42" s="12" t="s">
        <v>36</v>
      </c>
      <c r="B42" s="7">
        <v>28</v>
      </c>
    </row>
    <row r="43" spans="1:5" x14ac:dyDescent="0.35">
      <c r="A43" s="12" t="s">
        <v>26</v>
      </c>
      <c r="B43" s="7">
        <v>28</v>
      </c>
    </row>
    <row r="44" spans="1:5" x14ac:dyDescent="0.35">
      <c r="A44" s="12" t="s">
        <v>22</v>
      </c>
      <c r="B44" s="7">
        <v>25</v>
      </c>
    </row>
    <row r="45" spans="1:5" x14ac:dyDescent="0.35">
      <c r="A45" s="12" t="s">
        <v>27</v>
      </c>
      <c r="B45" s="7">
        <v>25</v>
      </c>
    </row>
    <row r="46" spans="1:5" x14ac:dyDescent="0.35">
      <c r="A46" s="12" t="s">
        <v>25</v>
      </c>
      <c r="B46" s="7">
        <v>24</v>
      </c>
    </row>
    <row r="47" spans="1:5" x14ac:dyDescent="0.35">
      <c r="A47" s="12" t="s">
        <v>30</v>
      </c>
      <c r="B47" s="7">
        <v>24</v>
      </c>
    </row>
    <row r="48" spans="1:5" x14ac:dyDescent="0.35">
      <c r="A48" s="12" t="s">
        <v>34</v>
      </c>
      <c r="B48" s="7">
        <v>24</v>
      </c>
    </row>
    <row r="49" spans="1:2" x14ac:dyDescent="0.35">
      <c r="A49" s="12" t="s">
        <v>33</v>
      </c>
      <c r="B49" s="7">
        <v>23</v>
      </c>
    </row>
    <row r="50" spans="1:2" x14ac:dyDescent="0.35">
      <c r="A50" s="12" t="s">
        <v>20</v>
      </c>
      <c r="B50" s="7">
        <v>22</v>
      </c>
    </row>
    <row r="51" spans="1:2" x14ac:dyDescent="0.35">
      <c r="A51" s="12" t="s">
        <v>29</v>
      </c>
      <c r="B51" s="7">
        <v>22</v>
      </c>
    </row>
    <row r="52" spans="1:2" x14ac:dyDescent="0.35">
      <c r="A52" s="12" t="s">
        <v>32</v>
      </c>
      <c r="B52" s="7">
        <v>20</v>
      </c>
    </row>
    <row r="53" spans="1:2" x14ac:dyDescent="0.35">
      <c r="A53" s="12" t="s">
        <v>21</v>
      </c>
      <c r="B53" s="7">
        <v>17</v>
      </c>
    </row>
    <row r="54" spans="1:2" x14ac:dyDescent="0.35">
      <c r="A54" s="12" t="s">
        <v>17</v>
      </c>
      <c r="B54" s="7">
        <v>16</v>
      </c>
    </row>
    <row r="55" spans="1:2" x14ac:dyDescent="0.35">
      <c r="A55" s="12" t="s">
        <v>23</v>
      </c>
      <c r="B55" s="7">
        <v>15</v>
      </c>
    </row>
    <row r="56" spans="1:2" x14ac:dyDescent="0.35">
      <c r="A56" s="12" t="s">
        <v>81</v>
      </c>
      <c r="B56" s="7">
        <v>500</v>
      </c>
    </row>
    <row r="64" spans="1:2" x14ac:dyDescent="0.35">
      <c r="A64" s="11" t="s">
        <v>80</v>
      </c>
      <c r="B64" t="s">
        <v>82</v>
      </c>
    </row>
    <row r="65" spans="1:2" x14ac:dyDescent="0.35">
      <c r="A65" s="12" t="s">
        <v>57</v>
      </c>
      <c r="B65" s="7">
        <v>26</v>
      </c>
    </row>
    <row r="66" spans="1:2" x14ac:dyDescent="0.35">
      <c r="A66" s="12" t="s">
        <v>56</v>
      </c>
      <c r="B66" s="7">
        <v>474</v>
      </c>
    </row>
    <row r="67" spans="1:2" x14ac:dyDescent="0.35">
      <c r="A67" s="12" t="s">
        <v>81</v>
      </c>
      <c r="B67" s="7">
        <v>500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RawData</vt:lpstr>
      <vt:lpstr>Dashboard</vt:lpstr>
      <vt:lpstr>PivotData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smita chatterjee</dc:creator>
  <cp:lastModifiedBy>smita chatterjee</cp:lastModifiedBy>
  <dcterms:created xsi:type="dcterms:W3CDTF">2026-07-10T02:59:44Z</dcterms:created>
  <dcterms:modified xsi:type="dcterms:W3CDTF">2026-07-10T06:36:40Z</dcterms:modified>
</cp:coreProperties>
</file>